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Codex\График ППР\"/>
    </mc:Choice>
  </mc:AlternateContent>
  <xr:revisionPtr revIDLastSave="0" documentId="13_ncr:1_{F61A8012-A494-4E1C-AFD5-BC02C2A7A2F4}" xr6:coauthVersionLast="47" xr6:coauthVersionMax="47" xr10:uidLastSave="{00000000-0000-0000-0000-000000000000}"/>
  <bookViews>
    <workbookView xWindow="-120" yWindow="-120" windowWidth="29040" windowHeight="15720" xr2:uid="{0E039AA0-8104-458E-999B-451E2B0CAC96}"/>
  </bookViews>
  <sheets>
    <sheet name="ТУ-28 (ТО-3, ТР-1)" sheetId="1" r:id="rId1"/>
  </sheets>
  <definedNames>
    <definedName name="_xlnm.Print_Area" localSheetId="0">'ТУ-28 (ТО-3, ТР-1)'!$A$1:$AP$185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182" i="1" l="1"/>
  <c r="AQ181" i="1"/>
  <c r="AQ180" i="1"/>
  <c r="AQ179" i="1"/>
  <c r="AQ178" i="1"/>
  <c r="AQ177" i="1"/>
  <c r="AQ169" i="1"/>
  <c r="AQ167" i="1"/>
  <c r="AQ162" i="1"/>
  <c r="AQ160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X106" i="1"/>
  <c r="AQ105" i="1"/>
  <c r="X105" i="1"/>
  <c r="AQ104" i="1"/>
  <c r="X104" i="1"/>
  <c r="AQ103" i="1"/>
  <c r="X103" i="1"/>
  <c r="AQ102" i="1"/>
  <c r="X102" i="1"/>
  <c r="AQ101" i="1"/>
  <c r="X101" i="1"/>
  <c r="AQ100" i="1"/>
  <c r="X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2" i="1"/>
</calcChain>
</file>

<file path=xl/sharedStrings.xml><?xml version="1.0" encoding="utf-8"?>
<sst xmlns="http://schemas.openxmlformats.org/spreadsheetml/2006/main" count="794" uniqueCount="142">
  <si>
    <r>
      <t xml:space="preserve">Утверждено распоряжением № </t>
    </r>
    <r>
      <rPr>
        <u/>
        <sz val="12"/>
        <color theme="1"/>
        <rFont val="Tahoma"/>
        <family val="2"/>
        <charset val="204"/>
      </rPr>
      <t>145</t>
    </r>
  </si>
  <si>
    <t>Приложение к ТУ-28</t>
  </si>
  <si>
    <t>от 27.10.2015 г.</t>
  </si>
  <si>
    <t>Аккумуляторная батарея</t>
  </si>
  <si>
    <t>Столбец1</t>
  </si>
  <si>
    <t>Локомотивное депо ТЦ</t>
  </si>
  <si>
    <t>ТО-3</t>
  </si>
  <si>
    <t>ТР-1</t>
  </si>
  <si>
    <t>ДОПОЛНИТЕЛЬНЫЙ РЕМОНТ</t>
  </si>
  <si>
    <t>№ п/п</t>
  </si>
  <si>
    <t>Запись требующегося ремонта</t>
  </si>
  <si>
    <t>Фамилия исполнителя</t>
  </si>
  <si>
    <t>Подпись исполнителя</t>
  </si>
  <si>
    <t>Электрические машины</t>
  </si>
  <si>
    <t>ПЕРЕЧЕНЬ ТРЕБУЮЩЕГОСЯ РЕМОНТА</t>
  </si>
  <si>
    <t>1. ДИЗЕЛЬ И ВСПОМОГАТЕЛЬНОЕ ОБОРУДОВАНИЕ</t>
  </si>
  <si>
    <t>Перед ремонтом, при работающем дизеле, осмотреть и проверить:</t>
  </si>
  <si>
    <t>1.1.</t>
  </si>
  <si>
    <t>Отсутствие постороннего шума и стука в механизмах агрегатах дизеля, ТК.</t>
  </si>
  <si>
    <t>1.2.</t>
  </si>
  <si>
    <t>Отсутствие утечки масла, воды в соединениях трубопроводов, секциях холодильника и теплообменнике</t>
  </si>
  <si>
    <t>1.3.</t>
  </si>
  <si>
    <t>При работающем дизеле проверить состояние всех КИП</t>
  </si>
  <si>
    <t>1.4.</t>
  </si>
  <si>
    <t>Проверить работу регулятора частоты вращения коленчатого вала дизеля и частоту вращения коленчатого вала дизеля</t>
  </si>
  <si>
    <t>1.5.</t>
  </si>
  <si>
    <r>
      <t>Проверить</t>
    </r>
    <r>
      <rPr>
        <sz val="10"/>
        <color rgb="FF000000"/>
        <rFont val="Tahoma"/>
        <family val="2"/>
        <charset val="204"/>
      </rPr>
      <t xml:space="preserve"> величину давления топлива, масла и воздуха</t>
    </r>
  </si>
  <si>
    <t>1.6.</t>
  </si>
  <si>
    <t>Проверить работу  редуктора  вентилятора  холодильника  при  включенной фрикционной муфте, автоматику системы охлаждения, привода жалюзи</t>
  </si>
  <si>
    <t>1.7.</t>
  </si>
  <si>
    <t>Проверить работу регулятора напряжения и величину зарядного тока по амперметру</t>
  </si>
  <si>
    <t>Произвести обдувку электрических машин, аппаратов и наружнюю поверхность секций холодильника сжатым воздухом</t>
  </si>
  <si>
    <t>Осмотреть состояние и надежность крепления: блока к картеру дизеля и последнего к раме тепловоза, гидромуфты, карданное соединение и резиновые муфты приводов, ограждения всех видов. При ослаблении фундаментных болтов агрегатов проверить центровку валопроводов.</t>
  </si>
  <si>
    <t>Вскрыть картерные люки с обеих сторон, проверить: крепление коренных и шатунных подшипников, отсутствие баббита, положение стыка вкладышей, состояние шестерен, антивибратора и маслопровода.</t>
  </si>
  <si>
    <t>Снять крышки клапанных коробок и, проверить состояние пружин и маслопровода, отрегулировать зазоры у рабочих клапанов, проверить обстукиванием крепление гаек цилиндровых крышек и осей рычагов. Осмотреть рычаги, пружины, ролики, штанги, маслоподводящие и топливные трубки, шплинтовку всех гаек. При необходимости производится регулировка клапанов.</t>
  </si>
  <si>
    <t>Проверить каплепадение воды через сальник насоса, которое должно быть не более 30 капель в 1 мин на 0 позиции контроллера. При необходимости добавляется набивка в сальник.</t>
  </si>
  <si>
    <t>Измерить осевое перемещение ротора турбокомпрессора и зазор на масло между шейкой вала ротора и подшипниками. Очистить  тройник трубопровода подвода смазки к подшипникам турбокомпрессора и кулачковому валу топливного насоса.</t>
  </si>
  <si>
    <t>Проверить и при необходимости отрегулировать натяжение приводных ремней</t>
  </si>
  <si>
    <t>Фильтры топлива, масла и воздуха снять, разобрать  и очистить. Фильтры типа ФЕТО заменить на текущем ремонте ТР.</t>
  </si>
  <si>
    <t>Через картерные люки произвести осмотр видимых рабочих поверхностей цилиндровых  втулок  при установке поршней в верхние мертвые точки. Цилиндровые втулки, имеющие задиры, заменяются.</t>
  </si>
  <si>
    <t>Открыть верхний лючок конической передачи масляного насоса. Осмотреть зубья шестерен и проверить зазоры в их зацеплении. Путем обстукивания проверить гайки крепления корпуса конической передачи. Ослабшие гайки покрепить. Сливные трубки очистить  и продуть без съемки. Осмотреть масляный насос центробежного фильтра, неисправности устранить.</t>
  </si>
  <si>
    <t>У водяных насосов открытого типа добавить  сальниковую набивку.</t>
  </si>
  <si>
    <t>Отсоединить трубопровод подвода масла к подшипникам турбокомпрессора и снять крышки подшипников. Осмотреть концы вала ротора и подшипники, проверить плавность вращения ротора от руки. Проверить радиальный зазор в подшипниках, осевой разбег ротора при помощи индика­торного приспособления.</t>
  </si>
  <si>
    <t>Осмотреть внутреннюю полость экрана глушителя. Очистить поверхность перфорированного листа от наличия масляных отложений и проверить действия механизма установки экрана в положение "открыто" или "закрыто". В положении "открыто" зазор между рамкой перфорированного листа и корпусом должен быть 40 мм. Осмотреть внутреннюю полость корпуса искрогасителя, при наличии нагарообразования и отложений очистить. Проверить зазор между соплом выпускного патрубка и направляющим устройством, который должен быть 3-4 мм.</t>
  </si>
  <si>
    <t xml:space="preserve">Термореле проверить на стенде или непосредственно на тепловозе при помощи переносных контрольных приборов. Реле давления масла снять для осмотра и проверки работы на стенде. </t>
  </si>
  <si>
    <t>Зазоры на масло коленчатого вала дизеля (замеряется на ТР-1)</t>
  </si>
  <si>
    <t>коренной</t>
  </si>
  <si>
    <t>провисание</t>
  </si>
  <si>
    <t>шатунный</t>
  </si>
  <si>
    <t>Зазор между блоком и цилиндровыми крышками (замеряется на ТР1)</t>
  </si>
  <si>
    <t>02,5-1,25</t>
  </si>
  <si>
    <t>Слева</t>
  </si>
  <si>
    <t>Справа</t>
  </si>
  <si>
    <r>
      <t xml:space="preserve">Осевой разбег ТК </t>
    </r>
    <r>
      <rPr>
        <sz val="9"/>
        <color theme="1"/>
        <rFont val="Tahoma"/>
        <family val="2"/>
        <charset val="204"/>
      </rPr>
      <t>(0,25-0,36)</t>
    </r>
  </si>
  <si>
    <t>Выбег ТК (не менее 65 секунд)</t>
  </si>
  <si>
    <t>Зазоры на масло газовых
подшипников ТК (не более 0,3)</t>
  </si>
  <si>
    <t>Зазоры на масло воздушных
подшипников ТК (не более 0,3)</t>
  </si>
  <si>
    <t>Роспись мастера:</t>
  </si>
  <si>
    <t>2. ТОПЛИВНАЯ АППАРАТУРА</t>
  </si>
  <si>
    <t>Перед ремонтом и работающем дизеле осмотреть и проверить: отсутствие постороннего шума и стука в механизмах и агрегатах, число оборотов коленвала дизеля, отсутствие утечек топлива в соединениях трубопроводов.</t>
  </si>
  <si>
    <t>Осмотреть состояние тяг управления и рычажной системы РЧО. Перемещение реек ТНВД. ТНВД, имеющие заедание реек или плунжерных пар, снять для ремонта. Проверить работу топливоподкачивающего насоса.</t>
  </si>
  <si>
    <t>Проверить работу основного топливоподкачивающего насоса.</t>
  </si>
  <si>
    <t>Снять и проверить через одно техническое обслуживание ТО-3  работу форсунок на стенде.</t>
  </si>
  <si>
    <t>Проверить работу фильтров грубой очистки топлива, сменить ФТО на ТР-1.</t>
  </si>
  <si>
    <t>После ремонта запустить дизель и проверить работу узлов и агрегатов, отсутствие течи топлива по трубкам форсунок и ТНВД.</t>
  </si>
  <si>
    <t>3. ЭЛЕКТРООБОРУДОВАНИЕ</t>
  </si>
  <si>
    <t>Осмотреть, продуть эл. машины и проверить отсутствие постороннего шума и стука. Запрессовать МЯП вспом. машин, проверить крепление на фундаменте. При работающем дизеле проверить состояние всех КИП.</t>
  </si>
  <si>
    <t>Осмотреть состояние коллекторов. Произвести осмотр и ремонт эл. аппаратуры.</t>
  </si>
  <si>
    <t>Осмотреть в доступных местах изоляцию полюсных катушек и бандажи якорей. Проверить укладку и крепление шин и кабельных межкатушечных соединений, состояние кронштейнов щеткодержателей, протереть изоляторы.</t>
  </si>
  <si>
    <t>Проверить состояние: щеткодержателей, их крепление на кронштейнах, щеток и их гибких шунтов. Проверить крепление болтов главных и дополнительных полюсов, подшипниковых щитов.</t>
  </si>
  <si>
    <t>Произвести проверку работы аварийной сигнализации работы дизеля и пожарной сигнализации.</t>
  </si>
  <si>
    <t>Проверить состояние сопротивления изоляции:
      Силовая цепь (не менее 0,5 мОм)               _______
      Вспомогательная цепь (не менее 0,25мОм) _______
      Между цепями (не менее 0,75 мОм)            _______</t>
  </si>
  <si>
    <t>Электроаппаратура и электрические цепи.</t>
  </si>
  <si>
    <t>Перед ремонтом, при работающем дизеле, продуть эл. аппараты, осмотреть и проверить: отсутствие постороннего шума и стука, отсутствие утечки воздуха в соединениях трубопроводов, работу электрических приводов жалюзи и регулятора напряжения, величину зарядного тока АБ, работу осветительных приборов.</t>
  </si>
  <si>
    <t>Произвести смазку скользящих контактов контроллера машиниста.</t>
  </si>
  <si>
    <t>После запуска дизеля проверить работу регулятора напряжения.</t>
  </si>
  <si>
    <t>АКБ осмотреть. Проверить уровень, плотность и напряжение каждого элемента. Прочистить вентиляционные отверстия в пробках элементов, очистить от окиси и проверить крепление контактных зажимов АКБ. Банки, имеющие утечку электролита заменить. Протереть поверхности крышек элементов и межэлементные соединения. Резьбовые поверхности смазать тонким слоем технического вазелина. Сопротивление изоляции всей АКБ не менее 15 кОм. Произвести смазку резьбовым поверхностям АКБ, зажимам и кабельным наконечникам соединений батареи.</t>
  </si>
  <si>
    <t>4. ЭКИПАЖ</t>
  </si>
  <si>
    <t>Осмотреть и проверить состояние КП, рам тележек.</t>
  </si>
  <si>
    <t>Проверить состояние рессорного подвешивания тележек.</t>
  </si>
  <si>
    <t>Произвести наружный осмотр букс, проверить крепление крышек.</t>
  </si>
  <si>
    <t>Проверить крепление МОП, крышки подшипников осмотреть. Проверить крепление кожухов зубчатых передач, устранить течь смазки.</t>
  </si>
  <si>
    <t>Осмотреть путеочистители, оторванные кронштейны и угольники приварить, ослабшие болты закрепить.</t>
  </si>
  <si>
    <t>Осмотреть состояние тормозных колодок и их подвесок, рычагов и тяг, предохранительных скоб, проверить прочность их крепления и наличие шайб, шплинтов, шпилек и чек. Рычажную передачу отрегулировать. Проверить действие ручного тормоза.</t>
  </si>
  <si>
    <t>Осмотреть состояние автосцепок и фрикционных аппаратов и проверить высоту автосцепок.</t>
  </si>
  <si>
    <t>Проверить крепление кожухов зубчатых передач и уровень смазки в них. При необходимости добавить смазку.</t>
  </si>
  <si>
    <t>5. ТОРМОЗНОЕ ОБОРУДОВАНИЕ</t>
  </si>
  <si>
    <t>Перед ремонтом при работающем дизеле проверить: отсутствие постороннего шума и стука компрессора; отсутствие утечек воздуха в соединениях трубопроводов; величины давления воздуха; проверить действие кранов резервуаров, действие тормозов, песочниц, стеклоочистителей и звуковых сигналов</t>
  </si>
  <si>
    <t>Произвести контрольный осмотр компрессора и проверить его крепление. Состояние муфтового соединения, очистить фильтры.</t>
  </si>
  <si>
    <t>Автотормозное и пневмооборудование осмотреть согласно технологии.</t>
  </si>
  <si>
    <t>Проверить состояние песочных бункеров, песочных труб. Отрегулировать подачу песка и установку насадок из шланга.</t>
  </si>
  <si>
    <t>После запуска дизеля проверить: работу компрессора, плотность тормозной и воздушной сети, правильность регулировки КМ.</t>
  </si>
  <si>
    <t>Испытание автотормозов согласно инструкции  2837р.</t>
  </si>
  <si>
    <t>Испытание автотормозов согласно инструкции  ЦТ533.</t>
  </si>
  <si>
    <t>7. КИП</t>
  </si>
  <si>
    <t>Проверить надежность крепления и состояние скоростемера или комплекса КПД-3П</t>
  </si>
  <si>
    <t>Провести ревизию привода скоростемера или осмотреть датчик Л178 комплекса КПД-3П</t>
  </si>
  <si>
    <t>После запуска дизеля проверить работу КИП.</t>
  </si>
  <si>
    <t>Проверить состояние антенн и крепления блоков радиостанции.</t>
  </si>
  <si>
    <t>8. АЛСН</t>
  </si>
  <si>
    <t>Произвести текущий осмотр, проверку действия и регулировку: приемным катушкам, электропневматическому клапану, ЭПК-150, рукоятке бдительности, локомотивному светофору. Проверить состояние и крепление приборов АЛСН.</t>
  </si>
  <si>
    <t>Произвести ревизию эл. монтажа АЛСН.</t>
  </si>
  <si>
    <t>Измерить высоту приемных катушек, мм.
Передние__________        Задние___________</t>
  </si>
  <si>
    <t>9. АЛСН КРП</t>
  </si>
  <si>
    <t>Произвести текущий осмотр, проверку действия и регулировку: усилителя, дешифратора, конденсаторного блока, сопротивлениям, локомотивному фильтру. Проверить состояние и крепление приборов АЛСН.</t>
  </si>
  <si>
    <t>11. КОЛЕСНЫЕ ПАРЫ</t>
  </si>
  <si>
    <t>ПРОКАТ
(не более 7 мм)</t>
  </si>
  <si>
    <t>ТОЛЩИНА ГРЕБНЯ
(25-33 мм)</t>
  </si>
  <si>
    <t>КРУТИЗНА ГРЕБНЯ
(не менее 6 мм)</t>
  </si>
  <si>
    <t>ТОЛЩИНА БАНДАЖА
(не менее 36 мм)</t>
  </si>
  <si>
    <t>ДИАМЕТР КОЛЕСА
(не менее 972 мм)</t>
  </si>
  <si>
    <t>лев</t>
  </si>
  <si>
    <t>прав</t>
  </si>
  <si>
    <t>12. ЗАЗОРЫ МОП (замеряется на ТР-1)</t>
  </si>
  <si>
    <t>Не более 3 мм</t>
  </si>
  <si>
    <t>13. РАЗБЕГ КП (замеряется на ТР-1)</t>
  </si>
  <si>
    <t>1,3,4,6 к.п. - (4-6 мм)
2,5 к.п. - (28-32 мм)</t>
  </si>
  <si>
    <t>общий</t>
  </si>
  <si>
    <t>Замечания:</t>
  </si>
  <si>
    <t>14. КОНТРОЛЬНЫЕ ЗАМЕРЫ</t>
  </si>
  <si>
    <t>Замеры</t>
  </si>
  <si>
    <t>Передний</t>
  </si>
  <si>
    <t>Задний</t>
  </si>
  <si>
    <t>Высота СА-3 (норма 980-1080 мм)</t>
  </si>
  <si>
    <t>Провисание (не более 10 мм) отклонение вверх не более 3 мм.</t>
  </si>
  <si>
    <t>Высота путеочистителей (100-170 мм).</t>
  </si>
  <si>
    <t>СНИМАЕМОЕ ОБОРУДОВАНИЕ</t>
  </si>
  <si>
    <t>№ снятого</t>
  </si>
  <si>
    <t>№ установленного</t>
  </si>
  <si>
    <t>ТО3 (ТР-1) выполнено в полном объеме, локомотив после ремонта осмотрен и готов к эксплуатации, эксплуатацию локомотива разрешаю.</t>
  </si>
  <si>
    <t>Ремонт выполнен: Начальник участка РТПС __________________</t>
  </si>
  <si>
    <t>Тепловоз с ремонта принял: Машинист-инструктор  _________________</t>
  </si>
  <si>
    <t>ТЕХНИЧЕСКОЕ ОБСЛУЖИВАНИЕ [ВИД]</t>
  </si>
  <si>
    <t>[ДАТА]</t>
  </si>
  <si>
    <t>Тепловоза [СЕРИЯ] № [НОМЕР]</t>
  </si>
  <si>
    <t>[ДИЗЕЛЬ]</t>
  </si>
  <si>
    <t>[АКБ]</t>
  </si>
  <si>
    <t>[ЭЛАП]</t>
  </si>
  <si>
    <t>[ТОРМОЗ]</t>
  </si>
  <si>
    <t>[ЭКИПАЖ 1]</t>
  </si>
  <si>
    <t>[ЭКИПАЖ 2]</t>
  </si>
  <si>
    <t>[ЭЛМАШ]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</si>
</sst>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  <charset val="204"/>
    </font>
    <font>
      <u/>
      <sz val="12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2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9"/>
      <color theme="1"/>
      <name val="Tahoma"/>
      <family val="2"/>
      <charset val="204"/>
    </font>
    <font>
      <b/>
      <sz val="11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/>
    </xf>
    <xf numFmtId="164" fontId="1" fillId="0" borderId="0" xfId="1" applyNumberFormat="1"/>
    <xf numFmtId="164" fontId="4" fillId="0" borderId="0" xfId="1" applyNumberFormat="1" applyFont="1" applyAlignment="1">
      <alignment horizontal="right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justify" vertical="center" wrapText="1"/>
    </xf>
    <xf numFmtId="0" fontId="3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0" xfId="1" applyFont="1"/>
    <xf numFmtId="0" fontId="3" fillId="0" borderId="0" xfId="1" applyFont="1"/>
    <xf numFmtId="0" fontId="5" fillId="0" borderId="0" xfId="1" applyFont="1" applyAlignment="1">
      <alignment horizontal="centerContinuous" vertical="center"/>
    </xf>
    <xf numFmtId="0" fontId="1" fillId="0" borderId="0" xfId="1" applyAlignment="1">
      <alignment horizontal="centerContinuous"/>
    </xf>
    <xf numFmtId="0" fontId="6" fillId="0" borderId="0" xfId="1" applyFont="1" applyAlignment="1">
      <alignment horizontal="centerContinuous" vertical="center" wrapText="1"/>
    </xf>
    <xf numFmtId="0" fontId="9" fillId="0" borderId="0" xfId="1" applyFont="1" applyAlignment="1">
      <alignment vertical="center"/>
    </xf>
    <xf numFmtId="0" fontId="9" fillId="0" borderId="0" xfId="1" applyFont="1"/>
    <xf numFmtId="0" fontId="6" fillId="0" borderId="1" xfId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justify" vertical="center" wrapText="1"/>
    </xf>
    <xf numFmtId="0" fontId="6" fillId="0" borderId="7" xfId="1" applyFont="1" applyBorder="1" applyAlignment="1">
      <alignment horizontal="justify" vertical="center" wrapText="1"/>
    </xf>
    <xf numFmtId="0" fontId="6" fillId="0" borderId="8" xfId="1" applyFont="1" applyBorder="1" applyAlignment="1">
      <alignment horizontal="justify" vertical="center" wrapText="1"/>
    </xf>
    <xf numFmtId="16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justify" vertical="center" wrapText="1"/>
    </xf>
    <xf numFmtId="0" fontId="1" fillId="0" borderId="1" xfId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right" vertical="center" wrapText="1"/>
    </xf>
    <xf numFmtId="0" fontId="6" fillId="0" borderId="7" xfId="1" applyFont="1" applyBorder="1" applyAlignment="1">
      <alignment horizontal="right" vertical="center" wrapText="1"/>
    </xf>
    <xf numFmtId="0" fontId="6" fillId="0" borderId="8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right" vertical="center" wrapText="1"/>
    </xf>
    <xf numFmtId="0" fontId="6" fillId="0" borderId="2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left" wrapText="1"/>
    </xf>
    <xf numFmtId="0" fontId="6" fillId="0" borderId="3" xfId="1" applyFont="1" applyBorder="1" applyAlignment="1">
      <alignment horizontal="left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justify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justify" wrapText="1"/>
    </xf>
  </cellXfs>
  <cellStyles count="2">
    <cellStyle name="Обычный" xfId="0" builtinId="0"/>
    <cellStyle name="Обычный 5" xfId="1" xr:uid="{0E3F9651-4388-4BA7-A1D7-DE6611BCD5BC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1384E-0AE8-4C94-B8B3-C10A12F1D7B7}" name="Таблица2" displayName="Таблица2" ref="AZ2:AZ4" totalsRowShown="0" headerRowDxfId="2" dataDxfId="1">
  <autoFilter ref="AZ2:AZ4" xr:uid="{00000000-0009-0000-0100-000002000000}"/>
  <tableColumns count="1">
    <tableColumn id="1" xr3:uid="{9E824017-72A9-4B21-A0D6-AB2A501642A7}" name="Столбец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7A56-0D2A-4502-86D2-6967564725ED}">
  <sheetPr codeName="Лист12">
    <pageSetUpPr fitToPage="1"/>
  </sheetPr>
  <dimension ref="A1:AZ182"/>
  <sheetViews>
    <sheetView showZeros="0" tabSelected="1" view="pageBreakPreview" topLeftCell="A76" zoomScaleNormal="100" zoomScaleSheetLayoutView="100" workbookViewId="0">
      <selection activeCell="AS85" sqref="AS85"/>
    </sheetView>
  </sheetViews>
  <sheetFormatPr defaultColWidth="11.28515625" defaultRowHeight="15" x14ac:dyDescent="0.2"/>
  <cols>
    <col min="1" max="42" width="2.5703125" style="1" customWidth="1"/>
    <col min="43" max="43" width="58.5703125" style="1" hidden="1" customWidth="1"/>
    <col min="44" max="44" width="11.85546875" style="1" customWidth="1"/>
    <col min="45" max="45" width="22.7109375" style="1" customWidth="1"/>
    <col min="46" max="49" width="23.140625" style="1" customWidth="1"/>
    <col min="50" max="50" width="20.42578125" style="1" customWidth="1"/>
    <col min="51" max="51" width="11.28515625" style="1"/>
    <col min="52" max="52" width="13.28515625" style="1" customWidth="1"/>
    <col min="53" max="16384" width="11.28515625" style="1"/>
  </cols>
  <sheetData>
    <row r="1" spans="1:52" x14ac:dyDescent="0.2">
      <c r="A1" s="2" t="s">
        <v>0</v>
      </c>
      <c r="AN1" s="3"/>
      <c r="AP1" s="3" t="s">
        <v>1</v>
      </c>
      <c r="AQ1" s="3"/>
      <c r="AR1" s="3"/>
    </row>
    <row r="2" spans="1:52" x14ac:dyDescent="0.2">
      <c r="A2" s="2" t="s">
        <v>2</v>
      </c>
      <c r="AS2" s="6"/>
      <c r="AT2" s="6"/>
      <c r="AZ2" s="1" t="s">
        <v>4</v>
      </c>
    </row>
    <row r="3" spans="1:52" x14ac:dyDescent="0.2">
      <c r="A3" s="2" t="s">
        <v>5</v>
      </c>
      <c r="AF3" s="4"/>
      <c r="AG3" s="20" t="s">
        <v>133</v>
      </c>
      <c r="AH3" s="20"/>
      <c r="AI3" s="20"/>
      <c r="AJ3" s="20"/>
      <c r="AK3" s="20"/>
      <c r="AL3" s="20"/>
      <c r="AM3" s="20"/>
      <c r="AN3" s="20"/>
      <c r="AO3" s="20"/>
      <c r="AP3" s="20"/>
      <c r="AQ3" s="5"/>
      <c r="AR3" s="5"/>
      <c r="AS3" s="6"/>
      <c r="AT3" s="6"/>
      <c r="AZ3" s="1" t="s">
        <v>6</v>
      </c>
    </row>
    <row r="4" spans="1:52" x14ac:dyDescent="0.2">
      <c r="A4" s="2" t="s">
        <v>132</v>
      </c>
      <c r="AS4" s="6"/>
      <c r="AT4" s="6"/>
      <c r="AZ4" s="1" t="s">
        <v>7</v>
      </c>
    </row>
    <row r="5" spans="1:52" x14ac:dyDescent="0.2">
      <c r="A5" s="21" t="s">
        <v>134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AS5" s="6"/>
      <c r="AT5" s="6"/>
    </row>
    <row r="6" spans="1:52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AS6" s="6"/>
      <c r="AT6" s="6"/>
    </row>
    <row r="7" spans="1:52" ht="15" customHeight="1" x14ac:dyDescent="0.2">
      <c r="A7" s="22" t="s">
        <v>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S7" s="6"/>
      <c r="AT7" s="6"/>
    </row>
    <row r="8" spans="1:52" x14ac:dyDescent="0.2">
      <c r="A8" s="19" t="s">
        <v>9</v>
      </c>
      <c r="B8" s="19"/>
      <c r="C8" s="19"/>
      <c r="D8" s="23" t="s">
        <v>10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19" t="s">
        <v>11</v>
      </c>
      <c r="AB8" s="19"/>
      <c r="AC8" s="19"/>
      <c r="AD8" s="19"/>
      <c r="AE8" s="19"/>
      <c r="AF8" s="19"/>
      <c r="AG8" s="19"/>
      <c r="AH8" s="19"/>
      <c r="AI8" s="19" t="s">
        <v>12</v>
      </c>
      <c r="AJ8" s="19"/>
      <c r="AK8" s="19"/>
      <c r="AL8" s="19"/>
      <c r="AM8" s="19"/>
      <c r="AN8" s="19"/>
      <c r="AO8" s="19"/>
      <c r="AP8" s="19"/>
      <c r="AQ8" s="7"/>
      <c r="AR8" s="7"/>
      <c r="AS8" s="6"/>
      <c r="AT8" s="6"/>
    </row>
    <row r="9" spans="1:52" ht="32.1" customHeight="1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7"/>
      <c r="AR9" s="7"/>
      <c r="AS9" s="6"/>
      <c r="AT9" s="6"/>
    </row>
    <row r="10" spans="1:52" ht="32.1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7"/>
      <c r="AR10" s="7"/>
      <c r="AS10" s="6"/>
      <c r="AT10" s="6"/>
    </row>
    <row r="11" spans="1:52" ht="32.1" customHeight="1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7"/>
      <c r="AR11" s="7"/>
      <c r="AS11" s="6"/>
      <c r="AT11" s="6"/>
    </row>
    <row r="12" spans="1:52" ht="32.1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7"/>
      <c r="AR12" s="7"/>
      <c r="AS12" s="6"/>
      <c r="AT12" s="6"/>
    </row>
    <row r="13" spans="1:52" ht="32.1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7"/>
      <c r="AR13" s="7"/>
      <c r="AS13" s="6"/>
      <c r="AT13" s="6"/>
    </row>
    <row r="14" spans="1:52" ht="32.1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7"/>
      <c r="AR14" s="7"/>
      <c r="AS14" s="6"/>
      <c r="AT14" s="6"/>
    </row>
    <row r="15" spans="1:52" ht="32.1" customHeight="1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7"/>
      <c r="AR15" s="7"/>
      <c r="AS15" s="6"/>
      <c r="AT15" s="6"/>
    </row>
    <row r="16" spans="1:52" ht="32.1" customHeight="1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7"/>
      <c r="AR16" s="7"/>
      <c r="AS16" s="6"/>
      <c r="AT16" s="6"/>
    </row>
    <row r="17" spans="1:46" ht="32.1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7"/>
      <c r="AR17" s="7"/>
      <c r="AS17" s="6"/>
      <c r="AT17" s="6"/>
    </row>
    <row r="18" spans="1:46" ht="32.1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7"/>
      <c r="AR18" s="7"/>
      <c r="AS18" s="6"/>
      <c r="AT18" s="6"/>
    </row>
    <row r="19" spans="1:46" ht="32.1" customHeight="1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7"/>
      <c r="AR19" s="7"/>
      <c r="AS19" s="6"/>
      <c r="AT19" s="6"/>
    </row>
    <row r="20" spans="1:46" ht="32.1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7"/>
      <c r="AR20" s="7"/>
      <c r="AS20" s="6"/>
      <c r="AT20" s="6"/>
    </row>
    <row r="21" spans="1:46" ht="32.1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7"/>
      <c r="AR21" s="7"/>
      <c r="AS21" s="6"/>
      <c r="AT21" s="6"/>
    </row>
    <row r="22" spans="1:46" ht="32.1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7"/>
      <c r="AR22" s="7"/>
      <c r="AS22" s="6"/>
      <c r="AT22" s="6"/>
    </row>
    <row r="23" spans="1:46" ht="32.1" customHeight="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7"/>
      <c r="AR23" s="7"/>
    </row>
    <row r="24" spans="1:46" ht="32.1" customHeight="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7"/>
      <c r="AR24" s="7"/>
      <c r="AS24" s="10"/>
    </row>
    <row r="25" spans="1:46" ht="32.1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7"/>
      <c r="AR25" s="7"/>
      <c r="AS25" s="10"/>
    </row>
    <row r="26" spans="1:46" ht="32.1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7"/>
      <c r="AR26" s="7"/>
      <c r="AS26" s="10"/>
    </row>
    <row r="27" spans="1:46" ht="32.1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7"/>
      <c r="AR27" s="7"/>
      <c r="AS27" s="10"/>
    </row>
    <row r="28" spans="1:46" ht="32.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7"/>
      <c r="AR28" s="7"/>
      <c r="AS28" s="6"/>
    </row>
    <row r="29" spans="1:46" ht="32.1" customHeight="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7"/>
      <c r="AR29" s="7"/>
    </row>
    <row r="30" spans="1:46" ht="32.1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7"/>
      <c r="AR30" s="7"/>
    </row>
    <row r="31" spans="1:46" ht="9.9499999999999993" customHeigh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1:46" ht="28.5" customHeight="1" x14ac:dyDescent="0.2">
      <c r="A32" s="19" t="s">
        <v>9</v>
      </c>
      <c r="B32" s="19"/>
      <c r="C32" s="19"/>
      <c r="D32" s="19" t="s">
        <v>14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 t="s">
        <v>11</v>
      </c>
      <c r="AB32" s="19"/>
      <c r="AC32" s="19"/>
      <c r="AD32" s="19"/>
      <c r="AE32" s="19"/>
      <c r="AF32" s="19"/>
      <c r="AG32" s="19"/>
      <c r="AH32" s="19"/>
      <c r="AI32" s="19" t="s">
        <v>12</v>
      </c>
      <c r="AJ32" s="19"/>
      <c r="AK32" s="19"/>
      <c r="AL32" s="19"/>
      <c r="AM32" s="19"/>
      <c r="AN32" s="19"/>
      <c r="AO32" s="19"/>
      <c r="AP32" s="19"/>
      <c r="AQ32" s="9" t="str">
        <f t="shared" ref="AQ32:AQ34" si="0">D32</f>
        <v>ПЕРЕЧЕНЬ ТРЕБУЮЩЕГОСЯ РЕМОНТА</v>
      </c>
      <c r="AR32" s="9"/>
    </row>
    <row r="33" spans="1:44" ht="9.9499999999999993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9"/>
      <c r="AR33" s="9"/>
    </row>
    <row r="34" spans="1:44" ht="15" customHeight="1" x14ac:dyDescent="0.2">
      <c r="A34" s="24" t="s">
        <v>15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9">
        <f t="shared" si="0"/>
        <v>0</v>
      </c>
      <c r="AR34" s="9"/>
    </row>
    <row r="35" spans="1:44" ht="25.5" customHeight="1" x14ac:dyDescent="0.2">
      <c r="A35" s="19">
        <v>1</v>
      </c>
      <c r="B35" s="19"/>
      <c r="C35" s="19"/>
      <c r="D35" s="25" t="s">
        <v>16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7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9" t="str">
        <f>D35</f>
        <v>Перед ремонтом, при работающем дизеле, осмотреть и проверить:</v>
      </c>
      <c r="AR35" s="9"/>
    </row>
    <row r="36" spans="1:44" ht="25.5" customHeight="1" x14ac:dyDescent="0.2">
      <c r="A36" s="28" t="s">
        <v>17</v>
      </c>
      <c r="B36" s="19"/>
      <c r="C36" s="19"/>
      <c r="D36" s="29" t="s">
        <v>18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19" t="s">
        <v>135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9" t="str">
        <f>D36</f>
        <v>Отсутствие постороннего шума и стука в механизмах агрегатах дизеля, ТК.</v>
      </c>
      <c r="AR36" s="9"/>
    </row>
    <row r="37" spans="1:44" ht="25.5" customHeight="1" x14ac:dyDescent="0.2">
      <c r="A37" s="19" t="s">
        <v>19</v>
      </c>
      <c r="B37" s="19"/>
      <c r="C37" s="19"/>
      <c r="D37" s="29" t="s">
        <v>20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9" t="s">
        <v>135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9" t="str">
        <f t="shared" ref="AQ37:AQ100" si="1">D37</f>
        <v>Отсутствие утечки масла, воды в соединениях трубопроводов, секциях холодильника и теплообменнике</v>
      </c>
      <c r="AR37" s="9"/>
    </row>
    <row r="38" spans="1:44" ht="24.95" customHeight="1" x14ac:dyDescent="0.2">
      <c r="A38" s="28" t="s">
        <v>21</v>
      </c>
      <c r="B38" s="19"/>
      <c r="C38" s="19"/>
      <c r="D38" s="29" t="s">
        <v>22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19" t="s">
        <v>137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9" t="str">
        <f t="shared" si="1"/>
        <v>При работающем дизеле проверить состояние всех КИП</v>
      </c>
      <c r="AR38" s="9"/>
    </row>
    <row r="39" spans="1:44" ht="25.5" customHeight="1" x14ac:dyDescent="0.2">
      <c r="A39" s="19" t="s">
        <v>23</v>
      </c>
      <c r="B39" s="19"/>
      <c r="C39" s="19"/>
      <c r="D39" s="29" t="s">
        <v>24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19" t="s">
        <v>135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9" t="str">
        <f t="shared" si="1"/>
        <v>Проверить работу регулятора частоты вращения коленчатого вала дизеля и частоту вращения коленчатого вала дизеля</v>
      </c>
      <c r="AR39" s="9"/>
    </row>
    <row r="40" spans="1:44" ht="24.95" customHeight="1" x14ac:dyDescent="0.2">
      <c r="A40" s="28" t="s">
        <v>25</v>
      </c>
      <c r="B40" s="19"/>
      <c r="C40" s="19"/>
      <c r="D40" s="29" t="s">
        <v>26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19" t="s">
        <v>135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9" t="str">
        <f t="shared" si="1"/>
        <v>Проверить величину давления топлива, масла и воздуха</v>
      </c>
      <c r="AR40" s="9"/>
    </row>
    <row r="41" spans="1:44" ht="38.25" customHeight="1" x14ac:dyDescent="0.2">
      <c r="A41" s="19" t="s">
        <v>27</v>
      </c>
      <c r="B41" s="19"/>
      <c r="C41" s="19"/>
      <c r="D41" s="29" t="s">
        <v>28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19" t="s">
        <v>135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9" t="str">
        <f t="shared" si="1"/>
        <v>Проверить работу  редуктора  вентилятора  холодильника  при  включенной фрикционной муфте, автоматику системы охлаждения, привода жалюзи</v>
      </c>
      <c r="AR41" s="9"/>
    </row>
    <row r="42" spans="1:44" ht="25.5" customHeight="1" x14ac:dyDescent="0.2">
      <c r="A42" s="28" t="s">
        <v>29</v>
      </c>
      <c r="B42" s="19"/>
      <c r="C42" s="19"/>
      <c r="D42" s="29" t="s">
        <v>30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19" t="s">
        <v>137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9" t="str">
        <f t="shared" si="1"/>
        <v>Проверить работу регулятора напряжения и величину зарядного тока по амперметру</v>
      </c>
      <c r="AR42" s="9"/>
    </row>
    <row r="43" spans="1:44" ht="25.5" customHeight="1" x14ac:dyDescent="0.2">
      <c r="A43" s="19">
        <v>2</v>
      </c>
      <c r="B43" s="19"/>
      <c r="C43" s="19"/>
      <c r="D43" s="29" t="s">
        <v>31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19" t="s">
        <v>135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9" t="str">
        <f t="shared" si="1"/>
        <v>Произвести обдувку электрических машин, аппаратов и наружнюю поверхность секций холодильника сжатым воздухом</v>
      </c>
      <c r="AR43" s="9"/>
    </row>
    <row r="44" spans="1:44" ht="63.75" customHeight="1" x14ac:dyDescent="0.2">
      <c r="A44" s="19">
        <v>3</v>
      </c>
      <c r="B44" s="19"/>
      <c r="C44" s="19"/>
      <c r="D44" s="29" t="s">
        <v>32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19" t="s">
        <v>135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9" t="str">
        <f t="shared" si="1"/>
        <v>Осмотреть состояние и надежность крепления: блока к картеру дизеля и последнего к раме тепловоза, гидромуфты, карданное соединение и резиновые муфты приводов, ограждения всех видов. При ослаблении фундаментных болтов агрегатов проверить центровку валопроводов.</v>
      </c>
      <c r="AR44" s="9"/>
    </row>
    <row r="45" spans="1:44" ht="51" customHeight="1" x14ac:dyDescent="0.2">
      <c r="A45" s="19">
        <v>4</v>
      </c>
      <c r="B45" s="19"/>
      <c r="C45" s="19"/>
      <c r="D45" s="29" t="s">
        <v>33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19" t="s">
        <v>135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9" t="str">
        <f t="shared" si="1"/>
        <v>Вскрыть картерные люки с обеих сторон, проверить: крепление коренных и шатунных подшипников, отсутствие баббита, положение стыка вкладышей, состояние шестерен, антивибратора и маслопровода.</v>
      </c>
      <c r="AR45" s="9"/>
    </row>
    <row r="46" spans="1:44" ht="89.25" x14ac:dyDescent="0.2">
      <c r="A46" s="19">
        <v>5</v>
      </c>
      <c r="B46" s="19"/>
      <c r="C46" s="19"/>
      <c r="D46" s="29" t="s">
        <v>34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19" t="s">
        <v>135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9" t="str">
        <f t="shared" si="1"/>
        <v>Снять крышки клапанных коробок и, проверить состояние пружин и маслопровода, отрегулировать зазоры у рабочих клапанов, проверить обстукиванием крепление гаек цилиндровых крышек и осей рычагов. Осмотреть рычаги, пружины, ролики, штанги, маслоподводящие и топливные трубки, шплинтовку всех гаек. При необходимости производится регулировка клапанов.</v>
      </c>
      <c r="AR46" s="9"/>
    </row>
    <row r="47" spans="1:44" ht="51" customHeight="1" x14ac:dyDescent="0.2">
      <c r="A47" s="19">
        <v>6</v>
      </c>
      <c r="B47" s="19"/>
      <c r="C47" s="19"/>
      <c r="D47" s="29" t="s">
        <v>35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19" t="s">
        <v>135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9" t="str">
        <f t="shared" si="1"/>
        <v>Проверить каплепадение воды через сальник насоса, которое должно быть не более 30 капель в 1 мин на 0 позиции контроллера. При необходимости добавляется набивка в сальник.</v>
      </c>
      <c r="AR47" s="9"/>
    </row>
    <row r="48" spans="1:44" ht="51" customHeight="1" x14ac:dyDescent="0.2">
      <c r="A48" s="19">
        <v>7</v>
      </c>
      <c r="B48" s="19"/>
      <c r="C48" s="19"/>
      <c r="D48" s="29" t="s">
        <v>36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19" t="s">
        <v>135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9" t="str">
        <f t="shared" si="1"/>
        <v>Измерить осевое перемещение ротора турбокомпрессора и зазор на масло между шейкой вала ротора и подшипниками. Очистить  тройник трубопровода подвода смазки к подшипникам турбокомпрессора и кулачковому валу топливного насоса.</v>
      </c>
      <c r="AR48" s="9"/>
    </row>
    <row r="49" spans="1:48" ht="25.5" customHeight="1" x14ac:dyDescent="0.2">
      <c r="A49" s="19">
        <v>8</v>
      </c>
      <c r="B49" s="19"/>
      <c r="C49" s="19"/>
      <c r="D49" s="29" t="s">
        <v>37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19" t="s">
        <v>135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9" t="str">
        <f t="shared" si="1"/>
        <v>Проверить и при необходимости отрегулировать натяжение приводных ремней</v>
      </c>
      <c r="AR49" s="9"/>
    </row>
    <row r="50" spans="1:48" ht="25.5" customHeight="1" x14ac:dyDescent="0.2">
      <c r="A50" s="19">
        <v>9</v>
      </c>
      <c r="B50" s="19"/>
      <c r="C50" s="19"/>
      <c r="D50" s="29" t="s">
        <v>38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19" t="s">
        <v>135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9" t="str">
        <f t="shared" si="1"/>
        <v>Фильтры топлива, масла и воздуха снять, разобрать  и очистить. Фильтры типа ФЕТО заменить на текущем ремонте ТР.</v>
      </c>
      <c r="AR50" s="9"/>
    </row>
    <row r="51" spans="1:48" ht="51" customHeight="1" x14ac:dyDescent="0.2">
      <c r="A51" s="19">
        <v>10</v>
      </c>
      <c r="B51" s="19"/>
      <c r="C51" s="19"/>
      <c r="D51" s="29" t="s">
        <v>39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9" t="s">
        <v>135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9" t="str">
        <f t="shared" si="1"/>
        <v>Через картерные люки произвести осмотр видимых рабочих поверхностей цилиндровых  втулок  при установке поршней в верхние мертвые точки. Цилиндровые втулки, имеющие задиры, заменяются.</v>
      </c>
      <c r="AR51" s="9"/>
    </row>
    <row r="52" spans="1:48" ht="76.5" customHeight="1" x14ac:dyDescent="0.2">
      <c r="A52" s="19">
        <v>11</v>
      </c>
      <c r="B52" s="19"/>
      <c r="C52" s="19"/>
      <c r="D52" s="29" t="s">
        <v>40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19" t="s">
        <v>135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9" t="str">
        <f t="shared" si="1"/>
        <v>Открыть верхний лючок конической передачи масляного насоса. Осмотреть зубья шестерен и проверить зазоры в их зацеплении. Путем обстукивания проверить гайки крепления корпуса конической передачи. Ослабшие гайки покрепить. Сливные трубки очистить  и продуть без съемки. Осмотреть масляный насос центробежного фильтра, неисправности устранить.</v>
      </c>
      <c r="AR52" s="9"/>
    </row>
    <row r="53" spans="1:48" ht="25.5" customHeight="1" x14ac:dyDescent="0.2">
      <c r="A53" s="19">
        <v>12</v>
      </c>
      <c r="B53" s="19"/>
      <c r="C53" s="19"/>
      <c r="D53" s="29" t="s">
        <v>41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19" t="s">
        <v>135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9" t="str">
        <f t="shared" si="1"/>
        <v>У водяных насосов открытого типа добавить  сальниковую набивку.</v>
      </c>
      <c r="AR53" s="9"/>
    </row>
    <row r="54" spans="1:48" ht="76.5" customHeight="1" x14ac:dyDescent="0.2">
      <c r="A54" s="19">
        <v>13</v>
      </c>
      <c r="B54" s="19"/>
      <c r="C54" s="19"/>
      <c r="D54" s="29" t="s">
        <v>42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19" t="s">
        <v>135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9" t="str">
        <f t="shared" si="1"/>
        <v>Отсоединить трубопровод подвода масла к подшипникам турбокомпрессора и снять крышки подшипников. Осмотреть концы вала ротора и подшипники, проверить плавность вращения ротора от руки. Проверить радиальный зазор в подшипниках, осевой разбег ротора при помощи индика­торного приспособления.</v>
      </c>
      <c r="AR54" s="9"/>
    </row>
    <row r="55" spans="1:48" ht="114.75" x14ac:dyDescent="0.2">
      <c r="A55" s="19">
        <v>14</v>
      </c>
      <c r="B55" s="19"/>
      <c r="C55" s="19"/>
      <c r="D55" s="29" t="s">
        <v>43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19" t="s">
        <v>135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9" t="str">
        <f t="shared" si="1"/>
        <v>Осмотреть внутреннюю полость экрана глушителя. Очистить поверхность перфорированного листа от наличия масляных отложений и проверить действия механизма установки экрана в положение "открыто" или "закрыто". В положении "открыто" зазор между рамкой перфорированного листа и корпусом должен быть 40 мм. Осмотреть внутреннюю полость корпуса искрогасителя, при наличии нагарообразования и отложений очистить. Проверить зазор между соплом выпускного патрубка и направляющим устройством, который должен быть 3-4 мм.</v>
      </c>
      <c r="AR55" s="9"/>
    </row>
    <row r="56" spans="1:48" ht="38.25" customHeight="1" x14ac:dyDescent="0.2">
      <c r="A56" s="19">
        <v>15</v>
      </c>
      <c r="B56" s="19"/>
      <c r="C56" s="19"/>
      <c r="D56" s="29" t="s">
        <v>44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19" t="s">
        <v>137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9" t="str">
        <f t="shared" si="1"/>
        <v xml:space="preserve">Термореле проверить на стенде или непосредственно на тепловозе при помощи переносных контрольных приборов. Реле давления масла снять для осмотра и проверки работы на стенде. </v>
      </c>
      <c r="AR56" s="9"/>
    </row>
    <row r="57" spans="1:48" ht="9.9499999999999993" customHeight="1" x14ac:dyDescent="0.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Q57" s="9">
        <f t="shared" si="1"/>
        <v>0</v>
      </c>
      <c r="AR57" s="9"/>
      <c r="AS57" s="7"/>
      <c r="AT57" s="7"/>
      <c r="AU57" s="7"/>
      <c r="AV57" s="7"/>
    </row>
    <row r="58" spans="1:48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19">
        <v>1</v>
      </c>
      <c r="T58" s="19"/>
      <c r="U58" s="19"/>
      <c r="V58" s="19"/>
      <c r="W58" s="19">
        <v>2</v>
      </c>
      <c r="X58" s="19"/>
      <c r="Y58" s="19"/>
      <c r="Z58" s="19"/>
      <c r="AA58" s="19">
        <v>3</v>
      </c>
      <c r="AB58" s="19"/>
      <c r="AC58" s="19"/>
      <c r="AD58" s="19"/>
      <c r="AE58" s="19">
        <v>4</v>
      </c>
      <c r="AF58" s="19"/>
      <c r="AG58" s="19"/>
      <c r="AH58" s="19"/>
      <c r="AI58" s="19">
        <v>5</v>
      </c>
      <c r="AJ58" s="19"/>
      <c r="AK58" s="19"/>
      <c r="AL58" s="19"/>
      <c r="AM58" s="19">
        <v>6</v>
      </c>
      <c r="AN58" s="19"/>
      <c r="AO58" s="19"/>
      <c r="AP58" s="19"/>
      <c r="AQ58" s="9">
        <f t="shared" si="1"/>
        <v>0</v>
      </c>
      <c r="AR58" s="9"/>
    </row>
    <row r="59" spans="1:48" ht="20.100000000000001" customHeight="1" x14ac:dyDescent="0.2">
      <c r="A59" s="19" t="s">
        <v>45</v>
      </c>
      <c r="B59" s="19"/>
      <c r="C59" s="19"/>
      <c r="D59" s="19"/>
      <c r="E59" s="19"/>
      <c r="F59" s="19"/>
      <c r="G59" s="19"/>
      <c r="H59" s="19"/>
      <c r="I59" s="19"/>
      <c r="J59" s="19">
        <v>0.3</v>
      </c>
      <c r="K59" s="19"/>
      <c r="L59" s="19"/>
      <c r="M59" s="19"/>
      <c r="N59" s="19" t="s">
        <v>46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9">
        <f t="shared" si="1"/>
        <v>0</v>
      </c>
      <c r="AR59" s="9"/>
    </row>
    <row r="60" spans="1:48" ht="20.100000000000001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>
        <v>0.05</v>
      </c>
      <c r="K60" s="19"/>
      <c r="L60" s="19"/>
      <c r="M60" s="19"/>
      <c r="N60" s="19" t="s">
        <v>47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9">
        <f t="shared" si="1"/>
        <v>0</v>
      </c>
      <c r="AR60" s="9"/>
    </row>
    <row r="61" spans="1:48" ht="20.100000000000001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>
        <v>0.25</v>
      </c>
      <c r="K61" s="19"/>
      <c r="L61" s="19"/>
      <c r="M61" s="19" t="s">
        <v>48</v>
      </c>
      <c r="N61" s="19" t="s">
        <v>48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9">
        <f t="shared" si="1"/>
        <v>0</v>
      </c>
      <c r="AR61" s="9"/>
      <c r="AS61" s="10"/>
    </row>
    <row r="62" spans="1:48" ht="30" customHeight="1" x14ac:dyDescent="0.2">
      <c r="A62" s="19" t="s">
        <v>49</v>
      </c>
      <c r="B62" s="19"/>
      <c r="C62" s="19"/>
      <c r="D62" s="19"/>
      <c r="E62" s="19"/>
      <c r="F62" s="19"/>
      <c r="G62" s="19"/>
      <c r="H62" s="19"/>
      <c r="I62" s="19"/>
      <c r="J62" s="19" t="s">
        <v>50</v>
      </c>
      <c r="K62" s="19"/>
      <c r="L62" s="19"/>
      <c r="M62" s="19"/>
      <c r="N62" s="19" t="s">
        <v>51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9">
        <f t="shared" si="1"/>
        <v>0</v>
      </c>
      <c r="AR62" s="9"/>
    </row>
    <row r="63" spans="1:48" ht="30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 t="s">
        <v>52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9">
        <f t="shared" si="1"/>
        <v>0</v>
      </c>
      <c r="AR63" s="9"/>
    </row>
    <row r="64" spans="1:48" ht="9.9499999999999993" customHeight="1" x14ac:dyDescent="0.2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Q64" s="9">
        <f t="shared" si="1"/>
        <v>0</v>
      </c>
      <c r="AR64" s="9"/>
    </row>
    <row r="65" spans="1:45" ht="27" customHeight="1" x14ac:dyDescent="0.2">
      <c r="A65" s="32" t="s">
        <v>53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4"/>
      <c r="O65" s="19"/>
      <c r="P65" s="19"/>
      <c r="Q65" s="19"/>
      <c r="R65" s="19"/>
      <c r="S65" s="19"/>
      <c r="T65" s="7"/>
      <c r="U65" s="7"/>
      <c r="V65" s="7"/>
      <c r="W65" s="7"/>
      <c r="X65" s="35" t="s">
        <v>54</v>
      </c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19"/>
      <c r="AM65" s="19"/>
      <c r="AN65" s="19"/>
      <c r="AO65" s="19"/>
      <c r="AP65" s="19"/>
      <c r="AQ65" s="9">
        <f t="shared" si="1"/>
        <v>0</v>
      </c>
      <c r="AR65" s="9"/>
    </row>
    <row r="66" spans="1:45" ht="27" customHeight="1" x14ac:dyDescent="0.2">
      <c r="A66" s="36" t="s">
        <v>55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19"/>
      <c r="P66" s="19"/>
      <c r="Q66" s="19"/>
      <c r="R66" s="19"/>
      <c r="S66" s="19"/>
      <c r="T66" s="7"/>
      <c r="U66" s="7"/>
      <c r="V66" s="7"/>
      <c r="W66" s="7"/>
      <c r="X66" s="35" t="s">
        <v>56</v>
      </c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23"/>
      <c r="AM66" s="23"/>
      <c r="AN66" s="23"/>
      <c r="AO66" s="23"/>
      <c r="AP66" s="23"/>
      <c r="AQ66" s="9">
        <f t="shared" si="1"/>
        <v>0</v>
      </c>
      <c r="AR66" s="9"/>
    </row>
    <row r="67" spans="1:45" ht="24.95" customHeight="1" x14ac:dyDescent="0.2">
      <c r="A67" s="37" t="s">
        <v>57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8"/>
      <c r="U67" s="38"/>
      <c r="V67" s="38"/>
      <c r="W67" s="38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9">
        <f t="shared" si="1"/>
        <v>0</v>
      </c>
      <c r="AR67" s="9"/>
    </row>
    <row r="68" spans="1:45" ht="9.9499999999999993" customHeight="1" x14ac:dyDescent="0.2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Q68" s="9">
        <f t="shared" si="1"/>
        <v>0</v>
      </c>
      <c r="AR68" s="9"/>
    </row>
    <row r="69" spans="1:45" ht="15" customHeight="1" x14ac:dyDescent="0.2">
      <c r="A69" s="31" t="s">
        <v>58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9">
        <f t="shared" si="1"/>
        <v>0</v>
      </c>
      <c r="AR69" s="9"/>
    </row>
    <row r="70" spans="1:45" ht="51" customHeight="1" x14ac:dyDescent="0.2">
      <c r="A70" s="19">
        <v>1</v>
      </c>
      <c r="B70" s="19"/>
      <c r="C70" s="19"/>
      <c r="D70" s="29" t="s">
        <v>59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19" t="s">
        <v>135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9" t="str">
        <f t="shared" si="1"/>
        <v>Перед ремонтом и работающем дизеле осмотреть и проверить: отсутствие постороннего шума и стука в механизмах и агрегатах, число оборотов коленвала дизеля, отсутствие утечек топлива в соединениях трубопроводов.</v>
      </c>
      <c r="AR70" s="9"/>
      <c r="AS70" s="10"/>
    </row>
    <row r="71" spans="1:45" ht="51" customHeight="1" x14ac:dyDescent="0.2">
      <c r="A71" s="19">
        <v>2</v>
      </c>
      <c r="B71" s="19"/>
      <c r="C71" s="19"/>
      <c r="D71" s="29" t="s">
        <v>60</v>
      </c>
      <c r="E71" s="29" t="s">
        <v>60</v>
      </c>
      <c r="F71" s="29" t="s">
        <v>60</v>
      </c>
      <c r="G71" s="29" t="s">
        <v>60</v>
      </c>
      <c r="H71" s="29" t="s">
        <v>60</v>
      </c>
      <c r="I71" s="29" t="s">
        <v>60</v>
      </c>
      <c r="J71" s="29" t="s">
        <v>60</v>
      </c>
      <c r="K71" s="29" t="s">
        <v>60</v>
      </c>
      <c r="L71" s="29" t="s">
        <v>60</v>
      </c>
      <c r="M71" s="29" t="s">
        <v>60</v>
      </c>
      <c r="N71" s="29" t="s">
        <v>60</v>
      </c>
      <c r="O71" s="29" t="s">
        <v>60</v>
      </c>
      <c r="P71" s="29" t="s">
        <v>60</v>
      </c>
      <c r="Q71" s="29" t="s">
        <v>60</v>
      </c>
      <c r="R71" s="29" t="s">
        <v>60</v>
      </c>
      <c r="S71" s="29" t="s">
        <v>60</v>
      </c>
      <c r="T71" s="29" t="s">
        <v>60</v>
      </c>
      <c r="U71" s="29" t="s">
        <v>60</v>
      </c>
      <c r="V71" s="29" t="s">
        <v>60</v>
      </c>
      <c r="W71" s="29" t="s">
        <v>60</v>
      </c>
      <c r="X71" s="29" t="s">
        <v>60</v>
      </c>
      <c r="Y71" s="29" t="s">
        <v>60</v>
      </c>
      <c r="Z71" s="29" t="s">
        <v>60</v>
      </c>
      <c r="AA71" s="19" t="s">
        <v>135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9" t="str">
        <f t="shared" si="1"/>
        <v>Осмотреть состояние тяг управления и рычажной системы РЧО. Перемещение реек ТНВД. ТНВД, имеющие заедание реек или плунжерных пар, снять для ремонта. Проверить работу топливоподкачивающего насоса.</v>
      </c>
      <c r="AR71" s="9"/>
    </row>
    <row r="72" spans="1:45" ht="24.95" customHeight="1" x14ac:dyDescent="0.2">
      <c r="A72" s="19">
        <v>3</v>
      </c>
      <c r="B72" s="19"/>
      <c r="C72" s="19"/>
      <c r="D72" s="29" t="s">
        <v>61</v>
      </c>
      <c r="E72" s="29" t="s">
        <v>61</v>
      </c>
      <c r="F72" s="29" t="s">
        <v>61</v>
      </c>
      <c r="G72" s="29" t="s">
        <v>61</v>
      </c>
      <c r="H72" s="29" t="s">
        <v>61</v>
      </c>
      <c r="I72" s="29" t="s">
        <v>61</v>
      </c>
      <c r="J72" s="29" t="s">
        <v>61</v>
      </c>
      <c r="K72" s="29" t="s">
        <v>61</v>
      </c>
      <c r="L72" s="29" t="s">
        <v>61</v>
      </c>
      <c r="M72" s="29" t="s">
        <v>61</v>
      </c>
      <c r="N72" s="29" t="s">
        <v>61</v>
      </c>
      <c r="O72" s="29" t="s">
        <v>61</v>
      </c>
      <c r="P72" s="29" t="s">
        <v>61</v>
      </c>
      <c r="Q72" s="29" t="s">
        <v>61</v>
      </c>
      <c r="R72" s="29" t="s">
        <v>61</v>
      </c>
      <c r="S72" s="29" t="s">
        <v>61</v>
      </c>
      <c r="T72" s="29" t="s">
        <v>61</v>
      </c>
      <c r="U72" s="29" t="s">
        <v>61</v>
      </c>
      <c r="V72" s="29" t="s">
        <v>61</v>
      </c>
      <c r="W72" s="29" t="s">
        <v>61</v>
      </c>
      <c r="X72" s="29" t="s">
        <v>61</v>
      </c>
      <c r="Y72" s="29" t="s">
        <v>61</v>
      </c>
      <c r="Z72" s="29" t="s">
        <v>61</v>
      </c>
      <c r="AA72" s="19" t="s">
        <v>135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9" t="str">
        <f t="shared" si="1"/>
        <v>Проверить работу основного топливоподкачивающего насоса.</v>
      </c>
      <c r="AR72" s="9"/>
    </row>
    <row r="73" spans="1:45" ht="25.5" customHeight="1" x14ac:dyDescent="0.2">
      <c r="A73" s="19">
        <v>4</v>
      </c>
      <c r="B73" s="19"/>
      <c r="C73" s="19"/>
      <c r="D73" s="29" t="s">
        <v>62</v>
      </c>
      <c r="E73" s="29" t="s">
        <v>62</v>
      </c>
      <c r="F73" s="29" t="s">
        <v>62</v>
      </c>
      <c r="G73" s="29" t="s">
        <v>62</v>
      </c>
      <c r="H73" s="29" t="s">
        <v>62</v>
      </c>
      <c r="I73" s="29" t="s">
        <v>62</v>
      </c>
      <c r="J73" s="29" t="s">
        <v>62</v>
      </c>
      <c r="K73" s="29" t="s">
        <v>62</v>
      </c>
      <c r="L73" s="29" t="s">
        <v>62</v>
      </c>
      <c r="M73" s="29" t="s">
        <v>62</v>
      </c>
      <c r="N73" s="29" t="s">
        <v>62</v>
      </c>
      <c r="O73" s="29" t="s">
        <v>62</v>
      </c>
      <c r="P73" s="29" t="s">
        <v>62</v>
      </c>
      <c r="Q73" s="29" t="s">
        <v>62</v>
      </c>
      <c r="R73" s="29" t="s">
        <v>62</v>
      </c>
      <c r="S73" s="29" t="s">
        <v>62</v>
      </c>
      <c r="T73" s="29" t="s">
        <v>62</v>
      </c>
      <c r="U73" s="29" t="s">
        <v>62</v>
      </c>
      <c r="V73" s="29" t="s">
        <v>62</v>
      </c>
      <c r="W73" s="29" t="s">
        <v>62</v>
      </c>
      <c r="X73" s="29" t="s">
        <v>62</v>
      </c>
      <c r="Y73" s="29" t="s">
        <v>62</v>
      </c>
      <c r="Z73" s="29" t="s">
        <v>62</v>
      </c>
      <c r="AA73" s="19" t="s">
        <v>135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9" t="str">
        <f t="shared" si="1"/>
        <v>Снять и проверить через одно техническое обслуживание ТО-3  работу форсунок на стенде.</v>
      </c>
      <c r="AR73" s="9"/>
    </row>
    <row r="74" spans="1:45" ht="25.5" customHeight="1" x14ac:dyDescent="0.2">
      <c r="A74" s="19">
        <v>5</v>
      </c>
      <c r="B74" s="19"/>
      <c r="C74" s="19"/>
      <c r="D74" s="29" t="s">
        <v>63</v>
      </c>
      <c r="E74" s="29" t="s">
        <v>63</v>
      </c>
      <c r="F74" s="29" t="s">
        <v>63</v>
      </c>
      <c r="G74" s="29" t="s">
        <v>63</v>
      </c>
      <c r="H74" s="29" t="s">
        <v>63</v>
      </c>
      <c r="I74" s="29" t="s">
        <v>63</v>
      </c>
      <c r="J74" s="29" t="s">
        <v>63</v>
      </c>
      <c r="K74" s="29" t="s">
        <v>63</v>
      </c>
      <c r="L74" s="29" t="s">
        <v>63</v>
      </c>
      <c r="M74" s="29" t="s">
        <v>63</v>
      </c>
      <c r="N74" s="29" t="s">
        <v>63</v>
      </c>
      <c r="O74" s="29" t="s">
        <v>63</v>
      </c>
      <c r="P74" s="29" t="s">
        <v>63</v>
      </c>
      <c r="Q74" s="29" t="s">
        <v>63</v>
      </c>
      <c r="R74" s="29" t="s">
        <v>63</v>
      </c>
      <c r="S74" s="29" t="s">
        <v>63</v>
      </c>
      <c r="T74" s="29" t="s">
        <v>63</v>
      </c>
      <c r="U74" s="29" t="s">
        <v>63</v>
      </c>
      <c r="V74" s="29" t="s">
        <v>63</v>
      </c>
      <c r="W74" s="29" t="s">
        <v>63</v>
      </c>
      <c r="X74" s="29" t="s">
        <v>63</v>
      </c>
      <c r="Y74" s="29" t="s">
        <v>63</v>
      </c>
      <c r="Z74" s="29" t="s">
        <v>63</v>
      </c>
      <c r="AA74" s="19" t="s">
        <v>135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9" t="str">
        <f t="shared" si="1"/>
        <v>Проверить работу фильтров грубой очистки топлива, сменить ФТО на ТР-1.</v>
      </c>
      <c r="AR74" s="9"/>
    </row>
    <row r="75" spans="1:45" ht="38.25" customHeight="1" x14ac:dyDescent="0.2">
      <c r="A75" s="19">
        <v>6</v>
      </c>
      <c r="B75" s="19"/>
      <c r="C75" s="19"/>
      <c r="D75" s="29" t="s">
        <v>64</v>
      </c>
      <c r="E75" s="29" t="s">
        <v>64</v>
      </c>
      <c r="F75" s="29" t="s">
        <v>64</v>
      </c>
      <c r="G75" s="29" t="s">
        <v>64</v>
      </c>
      <c r="H75" s="29" t="s">
        <v>64</v>
      </c>
      <c r="I75" s="29" t="s">
        <v>64</v>
      </c>
      <c r="J75" s="29" t="s">
        <v>64</v>
      </c>
      <c r="K75" s="29" t="s">
        <v>64</v>
      </c>
      <c r="L75" s="29" t="s">
        <v>64</v>
      </c>
      <c r="M75" s="29" t="s">
        <v>64</v>
      </c>
      <c r="N75" s="29" t="s">
        <v>64</v>
      </c>
      <c r="O75" s="29" t="s">
        <v>64</v>
      </c>
      <c r="P75" s="29" t="s">
        <v>64</v>
      </c>
      <c r="Q75" s="29" t="s">
        <v>64</v>
      </c>
      <c r="R75" s="29" t="s">
        <v>64</v>
      </c>
      <c r="S75" s="29" t="s">
        <v>64</v>
      </c>
      <c r="T75" s="29" t="s">
        <v>64</v>
      </c>
      <c r="U75" s="29" t="s">
        <v>64</v>
      </c>
      <c r="V75" s="29" t="s">
        <v>64</v>
      </c>
      <c r="W75" s="29" t="s">
        <v>64</v>
      </c>
      <c r="X75" s="29" t="s">
        <v>64</v>
      </c>
      <c r="Y75" s="29" t="s">
        <v>64</v>
      </c>
      <c r="Z75" s="29" t="s">
        <v>64</v>
      </c>
      <c r="AA75" s="19" t="s">
        <v>135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9" t="str">
        <f t="shared" si="1"/>
        <v>После ремонта запустить дизель и проверить работу узлов и агрегатов, отсутствие течи топлива по трубкам форсунок и ТНВД.</v>
      </c>
      <c r="AR75" s="9"/>
    </row>
    <row r="76" spans="1:45" ht="24.95" customHeight="1" x14ac:dyDescent="0.2">
      <c r="A76" s="37" t="s">
        <v>57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9">
        <f t="shared" si="1"/>
        <v>0</v>
      </c>
      <c r="AR76" s="9"/>
    </row>
    <row r="77" spans="1:45" ht="9.9499999999999993" customHeight="1" x14ac:dyDescent="0.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Q77" s="9">
        <f t="shared" si="1"/>
        <v>0</v>
      </c>
      <c r="AR77" s="9"/>
    </row>
    <row r="78" spans="1:45" ht="15" customHeight="1" x14ac:dyDescent="0.2">
      <c r="A78" s="31" t="s">
        <v>65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9">
        <f t="shared" si="1"/>
        <v>0</v>
      </c>
      <c r="AR78" s="9"/>
    </row>
    <row r="79" spans="1:45" ht="15" customHeight="1" x14ac:dyDescent="0.2">
      <c r="A79" s="12" t="s">
        <v>13</v>
      </c>
      <c r="C79" s="13"/>
      <c r="AQ79" s="9">
        <f t="shared" si="1"/>
        <v>0</v>
      </c>
      <c r="AR79" s="9"/>
    </row>
    <row r="80" spans="1:45" ht="51" customHeight="1" x14ac:dyDescent="0.2">
      <c r="A80" s="19">
        <v>1</v>
      </c>
      <c r="B80" s="19"/>
      <c r="C80" s="19"/>
      <c r="D80" s="29" t="s">
        <v>66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19" t="s">
        <v>141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9" t="str">
        <f t="shared" si="1"/>
        <v>Осмотреть, продуть эл. машины и проверить отсутствие постороннего шума и стука. Запрессовать МЯП вспом. машин, проверить крепление на фундаменте. При работающем дизеле проверить состояние всех КИП.</v>
      </c>
      <c r="AR80" s="9"/>
    </row>
    <row r="81" spans="1:45" ht="25.5" customHeight="1" x14ac:dyDescent="0.2">
      <c r="A81" s="19">
        <v>2</v>
      </c>
      <c r="B81" s="19"/>
      <c r="C81" s="19"/>
      <c r="D81" s="29" t="s">
        <v>67</v>
      </c>
      <c r="E81" s="29" t="s">
        <v>67</v>
      </c>
      <c r="F81" s="29" t="s">
        <v>67</v>
      </c>
      <c r="G81" s="29" t="s">
        <v>67</v>
      </c>
      <c r="H81" s="29" t="s">
        <v>67</v>
      </c>
      <c r="I81" s="29" t="s">
        <v>67</v>
      </c>
      <c r="J81" s="29" t="s">
        <v>67</v>
      </c>
      <c r="K81" s="29" t="s">
        <v>67</v>
      </c>
      <c r="L81" s="29" t="s">
        <v>67</v>
      </c>
      <c r="M81" s="29" t="s">
        <v>67</v>
      </c>
      <c r="N81" s="29" t="s">
        <v>67</v>
      </c>
      <c r="O81" s="29" t="s">
        <v>67</v>
      </c>
      <c r="P81" s="29" t="s">
        <v>67</v>
      </c>
      <c r="Q81" s="29" t="s">
        <v>67</v>
      </c>
      <c r="R81" s="29" t="s">
        <v>67</v>
      </c>
      <c r="S81" s="29" t="s">
        <v>67</v>
      </c>
      <c r="T81" s="29" t="s">
        <v>67</v>
      </c>
      <c r="U81" s="29" t="s">
        <v>67</v>
      </c>
      <c r="V81" s="29" t="s">
        <v>67</v>
      </c>
      <c r="W81" s="29" t="s">
        <v>67</v>
      </c>
      <c r="X81" s="29" t="s">
        <v>67</v>
      </c>
      <c r="Y81" s="29" t="s">
        <v>67</v>
      </c>
      <c r="Z81" s="29" t="s">
        <v>67</v>
      </c>
      <c r="AA81" s="19" t="s">
        <v>141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9" t="str">
        <f t="shared" si="1"/>
        <v>Осмотреть состояние коллекторов. Произвести осмотр и ремонт эл. аппаратуры.</v>
      </c>
      <c r="AR81" s="9"/>
    </row>
    <row r="82" spans="1:45" ht="51" customHeight="1" x14ac:dyDescent="0.2">
      <c r="A82" s="19">
        <v>3</v>
      </c>
      <c r="B82" s="19"/>
      <c r="C82" s="19"/>
      <c r="D82" s="29" t="s">
        <v>68</v>
      </c>
      <c r="E82" s="29" t="s">
        <v>68</v>
      </c>
      <c r="F82" s="29" t="s">
        <v>68</v>
      </c>
      <c r="G82" s="29" t="s">
        <v>68</v>
      </c>
      <c r="H82" s="29" t="s">
        <v>68</v>
      </c>
      <c r="I82" s="29" t="s">
        <v>68</v>
      </c>
      <c r="J82" s="29" t="s">
        <v>68</v>
      </c>
      <c r="K82" s="29" t="s">
        <v>68</v>
      </c>
      <c r="L82" s="29" t="s">
        <v>68</v>
      </c>
      <c r="M82" s="29" t="s">
        <v>68</v>
      </c>
      <c r="N82" s="29" t="s">
        <v>68</v>
      </c>
      <c r="O82" s="29" t="s">
        <v>68</v>
      </c>
      <c r="P82" s="29" t="s">
        <v>68</v>
      </c>
      <c r="Q82" s="29" t="s">
        <v>68</v>
      </c>
      <c r="R82" s="29" t="s">
        <v>68</v>
      </c>
      <c r="S82" s="29" t="s">
        <v>68</v>
      </c>
      <c r="T82" s="29" t="s">
        <v>68</v>
      </c>
      <c r="U82" s="29" t="s">
        <v>68</v>
      </c>
      <c r="V82" s="29" t="s">
        <v>68</v>
      </c>
      <c r="W82" s="29" t="s">
        <v>68</v>
      </c>
      <c r="X82" s="29" t="s">
        <v>68</v>
      </c>
      <c r="Y82" s="29" t="s">
        <v>68</v>
      </c>
      <c r="Z82" s="29" t="s">
        <v>68</v>
      </c>
      <c r="AA82" s="19" t="s">
        <v>141</v>
      </c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9" t="str">
        <f t="shared" si="1"/>
        <v>Осмотреть в доступных местах изоляцию полюсных катушек и бандажи якорей. Проверить укладку и крепление шин и кабельных межкатушечных соединений, состояние кронштейнов щеткодержателей, протереть изоляторы.</v>
      </c>
      <c r="AR82" s="9"/>
    </row>
    <row r="83" spans="1:45" ht="51" customHeight="1" x14ac:dyDescent="0.2">
      <c r="A83" s="19">
        <v>4</v>
      </c>
      <c r="B83" s="19"/>
      <c r="C83" s="19"/>
      <c r="D83" s="29" t="s">
        <v>69</v>
      </c>
      <c r="E83" s="29" t="s">
        <v>69</v>
      </c>
      <c r="F83" s="29" t="s">
        <v>69</v>
      </c>
      <c r="G83" s="29" t="s">
        <v>69</v>
      </c>
      <c r="H83" s="29" t="s">
        <v>69</v>
      </c>
      <c r="I83" s="29" t="s">
        <v>69</v>
      </c>
      <c r="J83" s="29" t="s">
        <v>69</v>
      </c>
      <c r="K83" s="29" t="s">
        <v>69</v>
      </c>
      <c r="L83" s="29" t="s">
        <v>69</v>
      </c>
      <c r="M83" s="29" t="s">
        <v>69</v>
      </c>
      <c r="N83" s="29" t="s">
        <v>69</v>
      </c>
      <c r="O83" s="29" t="s">
        <v>69</v>
      </c>
      <c r="P83" s="29" t="s">
        <v>69</v>
      </c>
      <c r="Q83" s="29" t="s">
        <v>69</v>
      </c>
      <c r="R83" s="29" t="s">
        <v>69</v>
      </c>
      <c r="S83" s="29" t="s">
        <v>69</v>
      </c>
      <c r="T83" s="29" t="s">
        <v>69</v>
      </c>
      <c r="U83" s="29" t="s">
        <v>69</v>
      </c>
      <c r="V83" s="29" t="s">
        <v>69</v>
      </c>
      <c r="W83" s="29" t="s">
        <v>69</v>
      </c>
      <c r="X83" s="29" t="s">
        <v>69</v>
      </c>
      <c r="Y83" s="29" t="s">
        <v>69</v>
      </c>
      <c r="Z83" s="29" t="s">
        <v>69</v>
      </c>
      <c r="AA83" s="19" t="s">
        <v>141</v>
      </c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9" t="str">
        <f t="shared" si="1"/>
        <v>Проверить состояние: щеткодержателей, их крепление на кронштейнах, щеток и их гибких шунтов. Проверить крепление болтов главных и дополнительных полюсов, подшипниковых щитов.</v>
      </c>
      <c r="AR83" s="9"/>
    </row>
    <row r="84" spans="1:45" ht="25.5" customHeight="1" x14ac:dyDescent="0.2">
      <c r="A84" s="19">
        <v>5</v>
      </c>
      <c r="B84" s="19"/>
      <c r="C84" s="19"/>
      <c r="D84" s="29" t="s">
        <v>70</v>
      </c>
      <c r="E84" s="29" t="s">
        <v>70</v>
      </c>
      <c r="F84" s="29" t="s">
        <v>70</v>
      </c>
      <c r="G84" s="29" t="s">
        <v>70</v>
      </c>
      <c r="H84" s="29" t="s">
        <v>70</v>
      </c>
      <c r="I84" s="29" t="s">
        <v>70</v>
      </c>
      <c r="J84" s="29" t="s">
        <v>70</v>
      </c>
      <c r="K84" s="29" t="s">
        <v>70</v>
      </c>
      <c r="L84" s="29" t="s">
        <v>70</v>
      </c>
      <c r="M84" s="29" t="s">
        <v>70</v>
      </c>
      <c r="N84" s="29" t="s">
        <v>70</v>
      </c>
      <c r="O84" s="29" t="s">
        <v>70</v>
      </c>
      <c r="P84" s="29" t="s">
        <v>70</v>
      </c>
      <c r="Q84" s="29" t="s">
        <v>70</v>
      </c>
      <c r="R84" s="29" t="s">
        <v>70</v>
      </c>
      <c r="S84" s="29" t="s">
        <v>70</v>
      </c>
      <c r="T84" s="29" t="s">
        <v>70</v>
      </c>
      <c r="U84" s="29" t="s">
        <v>70</v>
      </c>
      <c r="V84" s="29" t="s">
        <v>70</v>
      </c>
      <c r="W84" s="29" t="s">
        <v>70</v>
      </c>
      <c r="X84" s="29" t="s">
        <v>70</v>
      </c>
      <c r="Y84" s="29" t="s">
        <v>70</v>
      </c>
      <c r="Z84" s="29" t="s">
        <v>70</v>
      </c>
      <c r="AA84" s="19" t="s">
        <v>141</v>
      </c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9" t="str">
        <f t="shared" si="1"/>
        <v>Произвести проверку работы аварийной сигнализации работы дизеля и пожарной сигнализации.</v>
      </c>
      <c r="AR84" s="9"/>
    </row>
    <row r="85" spans="1:45" ht="86.25" customHeight="1" x14ac:dyDescent="0.2">
      <c r="A85" s="23">
        <v>6</v>
      </c>
      <c r="B85" s="23"/>
      <c r="C85" s="23"/>
      <c r="D85" s="39" t="s">
        <v>71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19" t="s">
        <v>137</v>
      </c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9" t="str">
        <f t="shared" si="1"/>
        <v>Проверить состояние сопротивления изоляции:
      Силовая цепь (не менее 0,5 мОм)               _______
      Вспомогательная цепь (не менее 0,25мОм) _______
      Между цепями (не менее 0,75 мОм)            _______</v>
      </c>
      <c r="AR85" s="9"/>
    </row>
    <row r="86" spans="1:45" ht="24.95" customHeight="1" x14ac:dyDescent="0.2">
      <c r="A86" s="37" t="s">
        <v>57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9">
        <f t="shared" si="1"/>
        <v>0</v>
      </c>
      <c r="AR86" s="9"/>
    </row>
    <row r="87" spans="1:45" ht="9.9499999999999993" customHeight="1" x14ac:dyDescent="0.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Q87" s="9">
        <f t="shared" si="1"/>
        <v>0</v>
      </c>
      <c r="AR87" s="9"/>
    </row>
    <row r="88" spans="1:45" ht="15" customHeight="1" x14ac:dyDescent="0.2">
      <c r="A88" s="12" t="s">
        <v>72</v>
      </c>
      <c r="AQ88" s="9">
        <f t="shared" si="1"/>
        <v>0</v>
      </c>
      <c r="AR88" s="9"/>
    </row>
    <row r="89" spans="1:45" ht="63.75" customHeight="1" x14ac:dyDescent="0.2">
      <c r="A89" s="19">
        <v>1</v>
      </c>
      <c r="B89" s="19"/>
      <c r="C89" s="19"/>
      <c r="D89" s="29" t="s">
        <v>73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19" t="s">
        <v>137</v>
      </c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9" t="str">
        <f t="shared" si="1"/>
        <v>Перед ремонтом, при работающем дизеле, продуть эл. аппараты, осмотреть и проверить: отсутствие постороннего шума и стука, отсутствие утечки воздуха в соединениях трубопроводов, работу электрических приводов жалюзи и регулятора напряжения, величину зарядного тока АБ, работу осветительных приборов.</v>
      </c>
      <c r="AR89" s="9"/>
    </row>
    <row r="90" spans="1:45" ht="25.5" customHeight="1" x14ac:dyDescent="0.2">
      <c r="A90" s="19">
        <v>2</v>
      </c>
      <c r="B90" s="19"/>
      <c r="C90" s="19"/>
      <c r="D90" s="29" t="s">
        <v>74</v>
      </c>
      <c r="E90" s="29" t="s">
        <v>74</v>
      </c>
      <c r="F90" s="29" t="s">
        <v>74</v>
      </c>
      <c r="G90" s="29" t="s">
        <v>74</v>
      </c>
      <c r="H90" s="29" t="s">
        <v>74</v>
      </c>
      <c r="I90" s="29" t="s">
        <v>74</v>
      </c>
      <c r="J90" s="29" t="s">
        <v>74</v>
      </c>
      <c r="K90" s="29" t="s">
        <v>74</v>
      </c>
      <c r="L90" s="29" t="s">
        <v>74</v>
      </c>
      <c r="M90" s="29" t="s">
        <v>74</v>
      </c>
      <c r="N90" s="29" t="s">
        <v>74</v>
      </c>
      <c r="O90" s="29" t="s">
        <v>74</v>
      </c>
      <c r="P90" s="29" t="s">
        <v>74</v>
      </c>
      <c r="Q90" s="29" t="s">
        <v>74</v>
      </c>
      <c r="R90" s="29" t="s">
        <v>74</v>
      </c>
      <c r="S90" s="29" t="s">
        <v>74</v>
      </c>
      <c r="T90" s="29" t="s">
        <v>74</v>
      </c>
      <c r="U90" s="29" t="s">
        <v>74</v>
      </c>
      <c r="V90" s="29" t="s">
        <v>74</v>
      </c>
      <c r="W90" s="29" t="s">
        <v>74</v>
      </c>
      <c r="X90" s="29" t="s">
        <v>74</v>
      </c>
      <c r="Y90" s="29" t="s">
        <v>74</v>
      </c>
      <c r="Z90" s="29" t="s">
        <v>74</v>
      </c>
      <c r="AA90" s="19" t="s">
        <v>137</v>
      </c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9" t="str">
        <f t="shared" si="1"/>
        <v>Произвести смазку скользящих контактов контроллера машиниста.</v>
      </c>
      <c r="AR90" s="9"/>
      <c r="AS90" s="10"/>
    </row>
    <row r="91" spans="1:45" ht="24.95" customHeight="1" x14ac:dyDescent="0.2">
      <c r="A91" s="23">
        <v>3</v>
      </c>
      <c r="B91" s="23"/>
      <c r="C91" s="23"/>
      <c r="D91" s="40" t="s">
        <v>75</v>
      </c>
      <c r="E91" s="40" t="s">
        <v>75</v>
      </c>
      <c r="F91" s="40" t="s">
        <v>75</v>
      </c>
      <c r="G91" s="40" t="s">
        <v>75</v>
      </c>
      <c r="H91" s="40" t="s">
        <v>75</v>
      </c>
      <c r="I91" s="40" t="s">
        <v>75</v>
      </c>
      <c r="J91" s="40" t="s">
        <v>75</v>
      </c>
      <c r="K91" s="40" t="s">
        <v>75</v>
      </c>
      <c r="L91" s="40" t="s">
        <v>75</v>
      </c>
      <c r="M91" s="40" t="s">
        <v>75</v>
      </c>
      <c r="N91" s="40" t="s">
        <v>75</v>
      </c>
      <c r="O91" s="40" t="s">
        <v>75</v>
      </c>
      <c r="P91" s="40" t="s">
        <v>75</v>
      </c>
      <c r="Q91" s="40" t="s">
        <v>75</v>
      </c>
      <c r="R91" s="40" t="s">
        <v>75</v>
      </c>
      <c r="S91" s="40" t="s">
        <v>75</v>
      </c>
      <c r="T91" s="40" t="s">
        <v>75</v>
      </c>
      <c r="U91" s="40" t="s">
        <v>75</v>
      </c>
      <c r="V91" s="40" t="s">
        <v>75</v>
      </c>
      <c r="W91" s="40" t="s">
        <v>75</v>
      </c>
      <c r="X91" s="40" t="s">
        <v>75</v>
      </c>
      <c r="Y91" s="40" t="s">
        <v>75</v>
      </c>
      <c r="Z91" s="40" t="s">
        <v>75</v>
      </c>
      <c r="AA91" s="19" t="s">
        <v>137</v>
      </c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9" t="str">
        <f t="shared" si="1"/>
        <v>После запуска дизеля проверить работу регулятора напряжения.</v>
      </c>
      <c r="AR91" s="9"/>
    </row>
    <row r="92" spans="1:45" ht="24.95" customHeight="1" x14ac:dyDescent="0.2">
      <c r="A92" s="37" t="s">
        <v>57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9">
        <f t="shared" si="1"/>
        <v>0</v>
      </c>
      <c r="AR92" s="9"/>
    </row>
    <row r="93" spans="1:45" ht="9.9499999999999993" customHeight="1" x14ac:dyDescent="0.2">
      <c r="AQ93" s="9">
        <f t="shared" si="1"/>
        <v>0</v>
      </c>
      <c r="AR93" s="9"/>
    </row>
    <row r="94" spans="1:45" ht="15" customHeight="1" x14ac:dyDescent="0.2">
      <c r="A94" s="12" t="s">
        <v>3</v>
      </c>
      <c r="AQ94" s="9">
        <f t="shared" si="1"/>
        <v>0</v>
      </c>
      <c r="AR94" s="9"/>
    </row>
    <row r="95" spans="1:45" ht="127.5" customHeight="1" x14ac:dyDescent="0.2">
      <c r="A95" s="19">
        <v>1</v>
      </c>
      <c r="B95" s="19"/>
      <c r="C95" s="19"/>
      <c r="D95" s="40" t="s">
        <v>76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19" t="s">
        <v>136</v>
      </c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9" t="str">
        <f t="shared" si="1"/>
        <v>АКБ осмотреть. Проверить уровень, плотность и напряжение каждого элемента. Прочистить вентиляционные отверстия в пробках элементов, очистить от окиси и проверить крепление контактных зажимов АКБ. Банки, имеющие утечку электролита заменить. Протереть поверхности крышек элементов и межэлементные соединения. Резьбовые поверхности смазать тонким слоем технического вазелина. Сопротивление изоляции всей АКБ не менее 15 кОм. Произвести смазку резьбовым поверхностям АКБ, зажимам и кабельным наконечникам соединений батареи.</v>
      </c>
      <c r="AR95" s="9"/>
    </row>
    <row r="96" spans="1:45" ht="24.95" customHeight="1" x14ac:dyDescent="0.2">
      <c r="A96" s="37" t="s">
        <v>57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9">
        <f t="shared" si="1"/>
        <v>0</v>
      </c>
      <c r="AR96" s="9"/>
    </row>
    <row r="97" spans="1:45" ht="9.9499999999999993" customHeight="1" x14ac:dyDescent="0.2">
      <c r="AQ97" s="9">
        <f t="shared" si="1"/>
        <v>0</v>
      </c>
      <c r="AR97" s="9"/>
    </row>
    <row r="98" spans="1:45" ht="15" customHeight="1" x14ac:dyDescent="0.2">
      <c r="A98" s="31" t="s">
        <v>77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9">
        <f t="shared" si="1"/>
        <v>0</v>
      </c>
      <c r="AR98" s="9"/>
    </row>
    <row r="99" spans="1:45" ht="24.95" customHeight="1" x14ac:dyDescent="0.2">
      <c r="A99" s="19">
        <v>1</v>
      </c>
      <c r="B99" s="19"/>
      <c r="C99" s="19"/>
      <c r="D99" s="29" t="s">
        <v>78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19" t="s">
        <v>139</v>
      </c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9" t="str">
        <f t="shared" si="1"/>
        <v>Осмотреть и проверить состояние КП, рам тележек.</v>
      </c>
      <c r="AR99" s="9"/>
    </row>
    <row r="100" spans="1:45" ht="24.95" customHeight="1" x14ac:dyDescent="0.2">
      <c r="A100" s="19">
        <v>2</v>
      </c>
      <c r="B100" s="19"/>
      <c r="C100" s="19"/>
      <c r="D100" s="29" t="s">
        <v>79</v>
      </c>
      <c r="E100" s="29" t="s">
        <v>79</v>
      </c>
      <c r="F100" s="29" t="s">
        <v>79</v>
      </c>
      <c r="G100" s="29" t="s">
        <v>79</v>
      </c>
      <c r="H100" s="29" t="s">
        <v>79</v>
      </c>
      <c r="I100" s="29" t="s">
        <v>79</v>
      </c>
      <c r="J100" s="29" t="s">
        <v>79</v>
      </c>
      <c r="K100" s="29" t="s">
        <v>79</v>
      </c>
      <c r="L100" s="29" t="s">
        <v>79</v>
      </c>
      <c r="M100" s="29" t="s">
        <v>79</v>
      </c>
      <c r="N100" s="29" t="s">
        <v>79</v>
      </c>
      <c r="O100" s="29" t="s">
        <v>79</v>
      </c>
      <c r="P100" s="29" t="s">
        <v>79</v>
      </c>
      <c r="Q100" s="29" t="s">
        <v>79</v>
      </c>
      <c r="R100" s="29" t="s">
        <v>79</v>
      </c>
      <c r="S100" s="29" t="s">
        <v>79</v>
      </c>
      <c r="T100" s="29" t="s">
        <v>79</v>
      </c>
      <c r="U100" s="29" t="s">
        <v>79</v>
      </c>
      <c r="V100" s="29" t="s">
        <v>79</v>
      </c>
      <c r="W100" s="29" t="s">
        <v>79</v>
      </c>
      <c r="X100" s="29" t="e">
        <f>VLOOKUP(#REF!,#REF!,2,0)</f>
        <v>#REF!</v>
      </c>
      <c r="Y100" s="29"/>
      <c r="Z100" s="29"/>
      <c r="AA100" s="19" t="s">
        <v>139</v>
      </c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9" t="str">
        <f t="shared" si="1"/>
        <v>Проверить состояние рессорного подвешивания тележек.</v>
      </c>
      <c r="AR100" s="9"/>
    </row>
    <row r="101" spans="1:45" ht="24.95" customHeight="1" x14ac:dyDescent="0.2">
      <c r="A101" s="19">
        <v>3</v>
      </c>
      <c r="B101" s="19"/>
      <c r="C101" s="19"/>
      <c r="D101" s="29" t="s">
        <v>80</v>
      </c>
      <c r="E101" s="29" t="s">
        <v>80</v>
      </c>
      <c r="F101" s="29" t="s">
        <v>80</v>
      </c>
      <c r="G101" s="29" t="s">
        <v>80</v>
      </c>
      <c r="H101" s="29" t="s">
        <v>80</v>
      </c>
      <c r="I101" s="29" t="s">
        <v>80</v>
      </c>
      <c r="J101" s="29" t="s">
        <v>80</v>
      </c>
      <c r="K101" s="29" t="s">
        <v>80</v>
      </c>
      <c r="L101" s="29" t="s">
        <v>80</v>
      </c>
      <c r="M101" s="29" t="s">
        <v>80</v>
      </c>
      <c r="N101" s="29" t="s">
        <v>80</v>
      </c>
      <c r="O101" s="29" t="s">
        <v>80</v>
      </c>
      <c r="P101" s="29" t="s">
        <v>80</v>
      </c>
      <c r="Q101" s="29" t="s">
        <v>80</v>
      </c>
      <c r="R101" s="29" t="s">
        <v>80</v>
      </c>
      <c r="S101" s="29" t="s">
        <v>80</v>
      </c>
      <c r="T101" s="29" t="s">
        <v>80</v>
      </c>
      <c r="U101" s="29" t="s">
        <v>80</v>
      </c>
      <c r="V101" s="29" t="s">
        <v>80</v>
      </c>
      <c r="W101" s="29" t="s">
        <v>80</v>
      </c>
      <c r="X101" s="29" t="e">
        <f>VLOOKUP(#REF!,#REF!,2,0)</f>
        <v>#REF!</v>
      </c>
      <c r="Y101" s="29"/>
      <c r="Z101" s="29"/>
      <c r="AA101" s="19" t="s">
        <v>139</v>
      </c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9" t="str">
        <f t="shared" ref="AQ101:AQ177" si="2">D101</f>
        <v>Произвести наружный осмотр букс, проверить крепление крышек.</v>
      </c>
      <c r="AR101" s="9"/>
      <c r="AS101" s="10"/>
    </row>
    <row r="102" spans="1:45" ht="38.25" customHeight="1" x14ac:dyDescent="0.2">
      <c r="A102" s="19">
        <v>4</v>
      </c>
      <c r="B102" s="19"/>
      <c r="C102" s="19"/>
      <c r="D102" s="29" t="s">
        <v>81</v>
      </c>
      <c r="E102" s="29" t="s">
        <v>81</v>
      </c>
      <c r="F102" s="29" t="s">
        <v>81</v>
      </c>
      <c r="G102" s="29" t="s">
        <v>81</v>
      </c>
      <c r="H102" s="29" t="s">
        <v>81</v>
      </c>
      <c r="I102" s="29" t="s">
        <v>81</v>
      </c>
      <c r="J102" s="29" t="s">
        <v>81</v>
      </c>
      <c r="K102" s="29" t="s">
        <v>81</v>
      </c>
      <c r="L102" s="29" t="s">
        <v>81</v>
      </c>
      <c r="M102" s="29" t="s">
        <v>81</v>
      </c>
      <c r="N102" s="29" t="s">
        <v>81</v>
      </c>
      <c r="O102" s="29" t="s">
        <v>81</v>
      </c>
      <c r="P102" s="29" t="s">
        <v>81</v>
      </c>
      <c r="Q102" s="29" t="s">
        <v>81</v>
      </c>
      <c r="R102" s="29" t="s">
        <v>81</v>
      </c>
      <c r="S102" s="29" t="s">
        <v>81</v>
      </c>
      <c r="T102" s="29" t="s">
        <v>81</v>
      </c>
      <c r="U102" s="29" t="s">
        <v>81</v>
      </c>
      <c r="V102" s="29" t="s">
        <v>81</v>
      </c>
      <c r="W102" s="29" t="s">
        <v>81</v>
      </c>
      <c r="X102" s="29" t="e">
        <f>VLOOKUP(#REF!,#REF!,2,0)</f>
        <v>#REF!</v>
      </c>
      <c r="Y102" s="29"/>
      <c r="Z102" s="29"/>
      <c r="AA102" s="19" t="s">
        <v>139</v>
      </c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9" t="str">
        <f t="shared" si="2"/>
        <v>Проверить крепление МОП, крышки подшипников осмотреть. Проверить крепление кожухов зубчатых передач, устранить течь смазки.</v>
      </c>
      <c r="AR102" s="9"/>
    </row>
    <row r="103" spans="1:45" ht="25.5" customHeight="1" x14ac:dyDescent="0.2">
      <c r="A103" s="19">
        <v>5</v>
      </c>
      <c r="B103" s="19"/>
      <c r="C103" s="19"/>
      <c r="D103" s="29" t="s">
        <v>82</v>
      </c>
      <c r="E103" s="29" t="s">
        <v>82</v>
      </c>
      <c r="F103" s="29" t="s">
        <v>82</v>
      </c>
      <c r="G103" s="29" t="s">
        <v>82</v>
      </c>
      <c r="H103" s="29" t="s">
        <v>82</v>
      </c>
      <c r="I103" s="29" t="s">
        <v>82</v>
      </c>
      <c r="J103" s="29" t="s">
        <v>82</v>
      </c>
      <c r="K103" s="29" t="s">
        <v>82</v>
      </c>
      <c r="L103" s="29" t="s">
        <v>82</v>
      </c>
      <c r="M103" s="29" t="s">
        <v>82</v>
      </c>
      <c r="N103" s="29" t="s">
        <v>82</v>
      </c>
      <c r="O103" s="29" t="s">
        <v>82</v>
      </c>
      <c r="P103" s="29" t="s">
        <v>82</v>
      </c>
      <c r="Q103" s="29" t="s">
        <v>82</v>
      </c>
      <c r="R103" s="29" t="s">
        <v>82</v>
      </c>
      <c r="S103" s="29" t="s">
        <v>82</v>
      </c>
      <c r="T103" s="29" t="s">
        <v>82</v>
      </c>
      <c r="U103" s="29" t="s">
        <v>82</v>
      </c>
      <c r="V103" s="29" t="s">
        <v>82</v>
      </c>
      <c r="W103" s="29" t="s">
        <v>82</v>
      </c>
      <c r="X103" s="29" t="e">
        <f>VLOOKUP(#REF!,#REF!,2,0)</f>
        <v>#REF!</v>
      </c>
      <c r="Y103" s="29"/>
      <c r="Z103" s="29"/>
      <c r="AA103" s="19" t="s">
        <v>140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9" t="str">
        <f t="shared" si="2"/>
        <v>Осмотреть путеочистители, оторванные кронштейны и угольники приварить, ослабшие болты закрепить.</v>
      </c>
      <c r="AR103" s="9"/>
    </row>
    <row r="104" spans="1:45" ht="51" customHeight="1" x14ac:dyDescent="0.2">
      <c r="A104" s="19">
        <v>6</v>
      </c>
      <c r="B104" s="19"/>
      <c r="C104" s="19"/>
      <c r="D104" s="29" t="s">
        <v>83</v>
      </c>
      <c r="E104" s="29" t="s">
        <v>83</v>
      </c>
      <c r="F104" s="29" t="s">
        <v>83</v>
      </c>
      <c r="G104" s="29" t="s">
        <v>83</v>
      </c>
      <c r="H104" s="29" t="s">
        <v>83</v>
      </c>
      <c r="I104" s="29" t="s">
        <v>83</v>
      </c>
      <c r="J104" s="29" t="s">
        <v>83</v>
      </c>
      <c r="K104" s="29" t="s">
        <v>83</v>
      </c>
      <c r="L104" s="29" t="s">
        <v>83</v>
      </c>
      <c r="M104" s="29" t="s">
        <v>83</v>
      </c>
      <c r="N104" s="29" t="s">
        <v>83</v>
      </c>
      <c r="O104" s="29" t="s">
        <v>83</v>
      </c>
      <c r="P104" s="29" t="s">
        <v>83</v>
      </c>
      <c r="Q104" s="29" t="s">
        <v>83</v>
      </c>
      <c r="R104" s="29" t="s">
        <v>83</v>
      </c>
      <c r="S104" s="29" t="s">
        <v>83</v>
      </c>
      <c r="T104" s="29" t="s">
        <v>83</v>
      </c>
      <c r="U104" s="29" t="s">
        <v>83</v>
      </c>
      <c r="V104" s="29" t="s">
        <v>83</v>
      </c>
      <c r="W104" s="29" t="s">
        <v>83</v>
      </c>
      <c r="X104" s="29" t="e">
        <f>VLOOKUP(#REF!,#REF!,2,0)</f>
        <v>#REF!</v>
      </c>
      <c r="Y104" s="29"/>
      <c r="Z104" s="29"/>
      <c r="AA104" s="19" t="s">
        <v>140</v>
      </c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9" t="str">
        <f t="shared" si="2"/>
        <v>Осмотреть состояние тормозных колодок и их подвесок, рычагов и тяг, предохранительных скоб, проверить прочность их крепления и наличие шайб, шплинтов, шпилек и чек. Рычажную передачу отрегулировать. Проверить действие ручного тормоза.</v>
      </c>
      <c r="AR104" s="9"/>
    </row>
    <row r="105" spans="1:45" ht="25.5" customHeight="1" x14ac:dyDescent="0.2">
      <c r="A105" s="19">
        <v>7</v>
      </c>
      <c r="B105" s="19"/>
      <c r="C105" s="19"/>
      <c r="D105" s="29" t="s">
        <v>84</v>
      </c>
      <c r="E105" s="29" t="s">
        <v>84</v>
      </c>
      <c r="F105" s="29" t="s">
        <v>84</v>
      </c>
      <c r="G105" s="29" t="s">
        <v>84</v>
      </c>
      <c r="H105" s="29" t="s">
        <v>84</v>
      </c>
      <c r="I105" s="29" t="s">
        <v>84</v>
      </c>
      <c r="J105" s="29" t="s">
        <v>84</v>
      </c>
      <c r="K105" s="29" t="s">
        <v>84</v>
      </c>
      <c r="L105" s="29" t="s">
        <v>84</v>
      </c>
      <c r="M105" s="29" t="s">
        <v>84</v>
      </c>
      <c r="N105" s="29" t="s">
        <v>84</v>
      </c>
      <c r="O105" s="29" t="s">
        <v>84</v>
      </c>
      <c r="P105" s="29" t="s">
        <v>84</v>
      </c>
      <c r="Q105" s="29" t="s">
        <v>84</v>
      </c>
      <c r="R105" s="29" t="s">
        <v>84</v>
      </c>
      <c r="S105" s="29" t="s">
        <v>84</v>
      </c>
      <c r="T105" s="29" t="s">
        <v>84</v>
      </c>
      <c r="U105" s="29" t="s">
        <v>84</v>
      </c>
      <c r="V105" s="29" t="s">
        <v>84</v>
      </c>
      <c r="W105" s="29" t="s">
        <v>84</v>
      </c>
      <c r="X105" s="29" t="e">
        <f>VLOOKUP(#REF!,#REF!,2,0)</f>
        <v>#REF!</v>
      </c>
      <c r="Y105" s="29"/>
      <c r="Z105" s="29"/>
      <c r="AA105" s="19" t="s">
        <v>140</v>
      </c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9" t="str">
        <f t="shared" si="2"/>
        <v>Осмотреть состояние автосцепок и фрикционных аппаратов и проверить высоту автосцепок.</v>
      </c>
      <c r="AR105" s="9"/>
    </row>
    <row r="106" spans="1:45" ht="25.5" customHeight="1" x14ac:dyDescent="0.2">
      <c r="A106" s="19">
        <v>8</v>
      </c>
      <c r="B106" s="19"/>
      <c r="C106" s="19"/>
      <c r="D106" s="29" t="s">
        <v>85</v>
      </c>
      <c r="E106" s="29" t="s">
        <v>85</v>
      </c>
      <c r="F106" s="29" t="s">
        <v>85</v>
      </c>
      <c r="G106" s="29" t="s">
        <v>85</v>
      </c>
      <c r="H106" s="29" t="s">
        <v>85</v>
      </c>
      <c r="I106" s="29" t="s">
        <v>85</v>
      </c>
      <c r="J106" s="29" t="s">
        <v>85</v>
      </c>
      <c r="K106" s="29" t="s">
        <v>85</v>
      </c>
      <c r="L106" s="29" t="s">
        <v>85</v>
      </c>
      <c r="M106" s="29" t="s">
        <v>85</v>
      </c>
      <c r="N106" s="29" t="s">
        <v>85</v>
      </c>
      <c r="O106" s="29" t="s">
        <v>85</v>
      </c>
      <c r="P106" s="29" t="s">
        <v>85</v>
      </c>
      <c r="Q106" s="29" t="s">
        <v>85</v>
      </c>
      <c r="R106" s="29" t="s">
        <v>85</v>
      </c>
      <c r="S106" s="29" t="s">
        <v>85</v>
      </c>
      <c r="T106" s="29" t="s">
        <v>85</v>
      </c>
      <c r="U106" s="29" t="s">
        <v>85</v>
      </c>
      <c r="V106" s="29" t="s">
        <v>85</v>
      </c>
      <c r="W106" s="29" t="s">
        <v>85</v>
      </c>
      <c r="X106" s="29" t="e">
        <f>VLOOKUP(#REF!,#REF!,2,0)</f>
        <v>#REF!</v>
      </c>
      <c r="Y106" s="29"/>
      <c r="Z106" s="29"/>
      <c r="AA106" s="19" t="s">
        <v>140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9" t="str">
        <f t="shared" si="2"/>
        <v>Проверить крепление кожухов зубчатых передач и уровень смазки в них. При необходимости добавить смазку.</v>
      </c>
      <c r="AR106" s="9"/>
    </row>
    <row r="107" spans="1:45" ht="24.95" customHeight="1" x14ac:dyDescent="0.2">
      <c r="A107" s="37" t="s">
        <v>57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9">
        <f t="shared" si="2"/>
        <v>0</v>
      </c>
      <c r="AR107" s="9"/>
    </row>
    <row r="108" spans="1:45" ht="9" customHeight="1" x14ac:dyDescent="0.2">
      <c r="AQ108" s="9">
        <f t="shared" si="2"/>
        <v>0</v>
      </c>
      <c r="AR108" s="9"/>
    </row>
    <row r="109" spans="1:45" ht="15" customHeight="1" x14ac:dyDescent="0.2">
      <c r="A109" s="31" t="s">
        <v>86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9">
        <f t="shared" si="2"/>
        <v>0</v>
      </c>
      <c r="AR109" s="9"/>
    </row>
    <row r="110" spans="1:45" ht="63.75" customHeight="1" x14ac:dyDescent="0.2">
      <c r="A110" s="19">
        <v>1</v>
      </c>
      <c r="B110" s="19"/>
      <c r="C110" s="19"/>
      <c r="D110" s="29" t="s">
        <v>87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41" t="s">
        <v>138</v>
      </c>
      <c r="AB110" s="42"/>
      <c r="AC110" s="42"/>
      <c r="AD110" s="42"/>
      <c r="AE110" s="42"/>
      <c r="AF110" s="42"/>
      <c r="AG110" s="42"/>
      <c r="AH110" s="43"/>
      <c r="AI110" s="19"/>
      <c r="AJ110" s="19"/>
      <c r="AK110" s="19"/>
      <c r="AL110" s="19"/>
      <c r="AM110" s="19"/>
      <c r="AN110" s="19"/>
      <c r="AO110" s="19"/>
      <c r="AP110" s="19"/>
      <c r="AQ110" s="9" t="str">
        <f t="shared" si="2"/>
        <v>Перед ремонтом при работающем дизеле проверить: отсутствие постороннего шума и стука компрессора; отсутствие утечек воздуха в соединениях трубопроводов; величины давления воздуха; проверить действие кранов резервуаров, действие тормозов, песочниц, стеклоочистителей и звуковых сигналов</v>
      </c>
      <c r="AR110" s="9"/>
      <c r="AS110" s="10"/>
    </row>
    <row r="111" spans="1:45" ht="38.25" customHeight="1" x14ac:dyDescent="0.2">
      <c r="A111" s="19">
        <v>2</v>
      </c>
      <c r="B111" s="19"/>
      <c r="C111" s="19"/>
      <c r="D111" s="29" t="s">
        <v>88</v>
      </c>
      <c r="E111" s="29" t="s">
        <v>88</v>
      </c>
      <c r="F111" s="29" t="s">
        <v>88</v>
      </c>
      <c r="G111" s="29" t="s">
        <v>88</v>
      </c>
      <c r="H111" s="29" t="s">
        <v>88</v>
      </c>
      <c r="I111" s="29" t="s">
        <v>88</v>
      </c>
      <c r="J111" s="29" t="s">
        <v>88</v>
      </c>
      <c r="K111" s="29" t="s">
        <v>88</v>
      </c>
      <c r="L111" s="29" t="s">
        <v>88</v>
      </c>
      <c r="M111" s="29" t="s">
        <v>88</v>
      </c>
      <c r="N111" s="29" t="s">
        <v>88</v>
      </c>
      <c r="O111" s="29" t="s">
        <v>88</v>
      </c>
      <c r="P111" s="29" t="s">
        <v>88</v>
      </c>
      <c r="Q111" s="29" t="s">
        <v>88</v>
      </c>
      <c r="R111" s="29" t="s">
        <v>88</v>
      </c>
      <c r="S111" s="29" t="s">
        <v>88</v>
      </c>
      <c r="T111" s="29" t="s">
        <v>88</v>
      </c>
      <c r="U111" s="29" t="s">
        <v>88</v>
      </c>
      <c r="V111" s="29" t="s">
        <v>88</v>
      </c>
      <c r="W111" s="29" t="s">
        <v>88</v>
      </c>
      <c r="X111" s="29" t="s">
        <v>88</v>
      </c>
      <c r="Y111" s="29" t="s">
        <v>88</v>
      </c>
      <c r="Z111" s="29" t="s">
        <v>88</v>
      </c>
      <c r="AA111" s="41" t="s">
        <v>138</v>
      </c>
      <c r="AB111" s="42"/>
      <c r="AC111" s="42"/>
      <c r="AD111" s="42"/>
      <c r="AE111" s="42"/>
      <c r="AF111" s="42"/>
      <c r="AG111" s="42"/>
      <c r="AH111" s="43"/>
      <c r="AI111" s="19"/>
      <c r="AJ111" s="19"/>
      <c r="AK111" s="19"/>
      <c r="AL111" s="19"/>
      <c r="AM111" s="19"/>
      <c r="AN111" s="19"/>
      <c r="AO111" s="19"/>
      <c r="AP111" s="19"/>
      <c r="AQ111" s="9" t="str">
        <f t="shared" si="2"/>
        <v>Произвести контрольный осмотр компрессора и проверить его крепление. Состояние муфтового соединения, очистить фильтры.</v>
      </c>
      <c r="AR111" s="9"/>
    </row>
    <row r="112" spans="1:45" ht="25.5" customHeight="1" x14ac:dyDescent="0.2">
      <c r="A112" s="19">
        <v>3</v>
      </c>
      <c r="B112" s="19"/>
      <c r="C112" s="19"/>
      <c r="D112" s="29" t="s">
        <v>89</v>
      </c>
      <c r="E112" s="29" t="s">
        <v>89</v>
      </c>
      <c r="F112" s="29" t="s">
        <v>89</v>
      </c>
      <c r="G112" s="29" t="s">
        <v>89</v>
      </c>
      <c r="H112" s="29" t="s">
        <v>89</v>
      </c>
      <c r="I112" s="29" t="s">
        <v>89</v>
      </c>
      <c r="J112" s="29" t="s">
        <v>89</v>
      </c>
      <c r="K112" s="29" t="s">
        <v>89</v>
      </c>
      <c r="L112" s="29" t="s">
        <v>89</v>
      </c>
      <c r="M112" s="29" t="s">
        <v>89</v>
      </c>
      <c r="N112" s="29" t="s">
        <v>89</v>
      </c>
      <c r="O112" s="29" t="s">
        <v>89</v>
      </c>
      <c r="P112" s="29" t="s">
        <v>89</v>
      </c>
      <c r="Q112" s="29" t="s">
        <v>89</v>
      </c>
      <c r="R112" s="29" t="s">
        <v>89</v>
      </c>
      <c r="S112" s="29" t="s">
        <v>89</v>
      </c>
      <c r="T112" s="29" t="s">
        <v>89</v>
      </c>
      <c r="U112" s="29" t="s">
        <v>89</v>
      </c>
      <c r="V112" s="29" t="s">
        <v>89</v>
      </c>
      <c r="W112" s="29" t="s">
        <v>89</v>
      </c>
      <c r="X112" s="29" t="s">
        <v>89</v>
      </c>
      <c r="Y112" s="29" t="s">
        <v>89</v>
      </c>
      <c r="Z112" s="29" t="s">
        <v>89</v>
      </c>
      <c r="AA112" s="41" t="s">
        <v>138</v>
      </c>
      <c r="AB112" s="42"/>
      <c r="AC112" s="42"/>
      <c r="AD112" s="42"/>
      <c r="AE112" s="42"/>
      <c r="AF112" s="42"/>
      <c r="AG112" s="42"/>
      <c r="AH112" s="43"/>
      <c r="AI112" s="19"/>
      <c r="AJ112" s="19"/>
      <c r="AK112" s="19"/>
      <c r="AL112" s="19"/>
      <c r="AM112" s="19"/>
      <c r="AN112" s="19"/>
      <c r="AO112" s="19"/>
      <c r="AP112" s="19"/>
      <c r="AQ112" s="9" t="str">
        <f t="shared" si="2"/>
        <v>Автотормозное и пневмооборудование осмотреть согласно технологии.</v>
      </c>
      <c r="AR112" s="9"/>
    </row>
    <row r="113" spans="1:45" ht="25.5" customHeight="1" x14ac:dyDescent="0.2">
      <c r="A113" s="19">
        <v>4</v>
      </c>
      <c r="B113" s="19"/>
      <c r="C113" s="19"/>
      <c r="D113" s="29" t="s">
        <v>90</v>
      </c>
      <c r="E113" s="29" t="s">
        <v>90</v>
      </c>
      <c r="F113" s="29" t="s">
        <v>90</v>
      </c>
      <c r="G113" s="29" t="s">
        <v>90</v>
      </c>
      <c r="H113" s="29" t="s">
        <v>90</v>
      </c>
      <c r="I113" s="29" t="s">
        <v>90</v>
      </c>
      <c r="J113" s="29" t="s">
        <v>90</v>
      </c>
      <c r="K113" s="29" t="s">
        <v>90</v>
      </c>
      <c r="L113" s="29" t="s">
        <v>90</v>
      </c>
      <c r="M113" s="29" t="s">
        <v>90</v>
      </c>
      <c r="N113" s="29" t="s">
        <v>90</v>
      </c>
      <c r="O113" s="29" t="s">
        <v>90</v>
      </c>
      <c r="P113" s="29" t="s">
        <v>90</v>
      </c>
      <c r="Q113" s="29" t="s">
        <v>90</v>
      </c>
      <c r="R113" s="29" t="s">
        <v>90</v>
      </c>
      <c r="S113" s="29" t="s">
        <v>90</v>
      </c>
      <c r="T113" s="29" t="s">
        <v>90</v>
      </c>
      <c r="U113" s="29" t="s">
        <v>90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19" t="s">
        <v>139</v>
      </c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9" t="str">
        <f t="shared" si="2"/>
        <v>Проверить состояние песочных бункеров, песочных труб. Отрегулировать подачу песка и установку насадок из шланга.</v>
      </c>
      <c r="AR113" s="9"/>
    </row>
    <row r="114" spans="1:45" ht="25.5" customHeight="1" x14ac:dyDescent="0.2">
      <c r="A114" s="19">
        <v>5</v>
      </c>
      <c r="B114" s="19"/>
      <c r="C114" s="19"/>
      <c r="D114" s="29" t="s">
        <v>91</v>
      </c>
      <c r="E114" s="29" t="s">
        <v>91</v>
      </c>
      <c r="F114" s="29" t="s">
        <v>91</v>
      </c>
      <c r="G114" s="29" t="s">
        <v>91</v>
      </c>
      <c r="H114" s="29" t="s">
        <v>91</v>
      </c>
      <c r="I114" s="29" t="s">
        <v>91</v>
      </c>
      <c r="J114" s="29" t="s">
        <v>91</v>
      </c>
      <c r="K114" s="29" t="s">
        <v>91</v>
      </c>
      <c r="L114" s="29" t="s">
        <v>91</v>
      </c>
      <c r="M114" s="29" t="s">
        <v>91</v>
      </c>
      <c r="N114" s="29" t="s">
        <v>91</v>
      </c>
      <c r="O114" s="29" t="s">
        <v>91</v>
      </c>
      <c r="P114" s="29" t="s">
        <v>91</v>
      </c>
      <c r="Q114" s="29" t="s">
        <v>91</v>
      </c>
      <c r="R114" s="29" t="s">
        <v>91</v>
      </c>
      <c r="S114" s="29" t="s">
        <v>91</v>
      </c>
      <c r="T114" s="29" t="s">
        <v>91</v>
      </c>
      <c r="U114" s="29" t="s">
        <v>91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41" t="s">
        <v>138</v>
      </c>
      <c r="AB114" s="42"/>
      <c r="AC114" s="42"/>
      <c r="AD114" s="42"/>
      <c r="AE114" s="42"/>
      <c r="AF114" s="42"/>
      <c r="AG114" s="42"/>
      <c r="AH114" s="43"/>
      <c r="AI114" s="19"/>
      <c r="AJ114" s="19"/>
      <c r="AK114" s="19"/>
      <c r="AL114" s="19"/>
      <c r="AM114" s="19"/>
      <c r="AN114" s="19"/>
      <c r="AO114" s="19"/>
      <c r="AP114" s="19"/>
      <c r="AQ114" s="9" t="str">
        <f t="shared" si="2"/>
        <v>После запуска дизеля проверить: работу компрессора, плотность тормозной и воздушной сети, правильность регулировки КМ.</v>
      </c>
      <c r="AR114" s="9"/>
    </row>
    <row r="115" spans="1:45" ht="24.95" customHeight="1" x14ac:dyDescent="0.2">
      <c r="A115" s="23">
        <v>6</v>
      </c>
      <c r="B115" s="23"/>
      <c r="C115" s="23"/>
      <c r="D115" s="40" t="s">
        <v>92</v>
      </c>
      <c r="E115" s="40" t="s">
        <v>93</v>
      </c>
      <c r="F115" s="40" t="s">
        <v>93</v>
      </c>
      <c r="G115" s="40" t="s">
        <v>93</v>
      </c>
      <c r="H115" s="40" t="s">
        <v>93</v>
      </c>
      <c r="I115" s="40" t="s">
        <v>93</v>
      </c>
      <c r="J115" s="40" t="s">
        <v>93</v>
      </c>
      <c r="K115" s="40" t="s">
        <v>93</v>
      </c>
      <c r="L115" s="40" t="s">
        <v>93</v>
      </c>
      <c r="M115" s="40" t="s">
        <v>93</v>
      </c>
      <c r="N115" s="40" t="s">
        <v>93</v>
      </c>
      <c r="O115" s="40" t="s">
        <v>93</v>
      </c>
      <c r="P115" s="40" t="s">
        <v>93</v>
      </c>
      <c r="Q115" s="40" t="s">
        <v>93</v>
      </c>
      <c r="R115" s="40" t="s">
        <v>93</v>
      </c>
      <c r="S115" s="40" t="s">
        <v>93</v>
      </c>
      <c r="T115" s="40" t="s">
        <v>93</v>
      </c>
      <c r="U115" s="40" t="s">
        <v>93</v>
      </c>
      <c r="V115" s="40" t="s">
        <v>93</v>
      </c>
      <c r="W115" s="40" t="s">
        <v>93</v>
      </c>
      <c r="X115" s="40" t="s">
        <v>93</v>
      </c>
      <c r="Y115" s="40" t="s">
        <v>93</v>
      </c>
      <c r="Z115" s="40" t="s">
        <v>93</v>
      </c>
      <c r="AA115" s="41" t="s">
        <v>138</v>
      </c>
      <c r="AB115" s="42"/>
      <c r="AC115" s="42"/>
      <c r="AD115" s="42"/>
      <c r="AE115" s="42"/>
      <c r="AF115" s="42"/>
      <c r="AG115" s="42"/>
      <c r="AH115" s="43"/>
      <c r="AI115" s="19"/>
      <c r="AJ115" s="19"/>
      <c r="AK115" s="19"/>
      <c r="AL115" s="19"/>
      <c r="AM115" s="19"/>
      <c r="AN115" s="19"/>
      <c r="AO115" s="19"/>
      <c r="AP115" s="19"/>
      <c r="AQ115" s="9" t="str">
        <f t="shared" si="2"/>
        <v>Испытание автотормозов согласно инструкции  2837р.</v>
      </c>
      <c r="AR115" s="9"/>
    </row>
    <row r="116" spans="1:45" ht="21.75" customHeight="1" x14ac:dyDescent="0.2">
      <c r="A116" s="37" t="s">
        <v>57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9">
        <f t="shared" si="2"/>
        <v>0</v>
      </c>
      <c r="AR116" s="9"/>
    </row>
    <row r="117" spans="1:45" ht="9.75" customHeight="1" x14ac:dyDescent="0.2">
      <c r="AQ117" s="9">
        <f t="shared" si="2"/>
        <v>0</v>
      </c>
      <c r="AR117" s="9"/>
      <c r="AS117" s="10"/>
    </row>
    <row r="118" spans="1:45" x14ac:dyDescent="0.2">
      <c r="A118" s="31" t="s">
        <v>94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9">
        <f t="shared" si="2"/>
        <v>0</v>
      </c>
      <c r="AR118" s="9"/>
    </row>
    <row r="119" spans="1:45" ht="25.5" customHeight="1" x14ac:dyDescent="0.2">
      <c r="A119" s="19">
        <v>1</v>
      </c>
      <c r="B119" s="19"/>
      <c r="C119" s="19"/>
      <c r="D119" s="29" t="s">
        <v>95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19" t="s">
        <v>137</v>
      </c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9" t="str">
        <f t="shared" si="2"/>
        <v>Проверить надежность крепления и состояние скоростемера или комплекса КПД-3П</v>
      </c>
      <c r="AR119" s="9"/>
    </row>
    <row r="120" spans="1:45" ht="25.5" customHeight="1" x14ac:dyDescent="0.2">
      <c r="A120" s="19">
        <v>2</v>
      </c>
      <c r="B120" s="19"/>
      <c r="C120" s="19"/>
      <c r="D120" s="29" t="s">
        <v>96</v>
      </c>
      <c r="E120" s="29" t="s">
        <v>96</v>
      </c>
      <c r="F120" s="29" t="s">
        <v>96</v>
      </c>
      <c r="G120" s="29" t="s">
        <v>96</v>
      </c>
      <c r="H120" s="29" t="s">
        <v>96</v>
      </c>
      <c r="I120" s="29" t="s">
        <v>96</v>
      </c>
      <c r="J120" s="29" t="s">
        <v>96</v>
      </c>
      <c r="K120" s="29" t="s">
        <v>96</v>
      </c>
      <c r="L120" s="29" t="s">
        <v>96</v>
      </c>
      <c r="M120" s="29" t="s">
        <v>96</v>
      </c>
      <c r="N120" s="29" t="s">
        <v>96</v>
      </c>
      <c r="O120" s="29" t="s">
        <v>96</v>
      </c>
      <c r="P120" s="29" t="s">
        <v>96</v>
      </c>
      <c r="Q120" s="29" t="s">
        <v>96</v>
      </c>
      <c r="R120" s="29" t="s">
        <v>96</v>
      </c>
      <c r="S120" s="29" t="s">
        <v>96</v>
      </c>
      <c r="T120" s="29" t="s">
        <v>96</v>
      </c>
      <c r="U120" s="29" t="s">
        <v>96</v>
      </c>
      <c r="V120" s="29" t="s">
        <v>96</v>
      </c>
      <c r="W120" s="29" t="s">
        <v>96</v>
      </c>
      <c r="X120" s="29" t="s">
        <v>96</v>
      </c>
      <c r="Y120" s="29" t="s">
        <v>96</v>
      </c>
      <c r="Z120" s="29" t="s">
        <v>96</v>
      </c>
      <c r="AA120" s="19" t="s">
        <v>137</v>
      </c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9" t="str">
        <f t="shared" si="2"/>
        <v>Провести ревизию привода скоростемера или осмотреть датчик Л178 комплекса КПД-3П</v>
      </c>
      <c r="AR120" s="9"/>
    </row>
    <row r="121" spans="1:45" ht="24.95" customHeight="1" x14ac:dyDescent="0.2">
      <c r="A121" s="19">
        <v>3</v>
      </c>
      <c r="B121" s="19"/>
      <c r="C121" s="19"/>
      <c r="D121" s="29" t="s">
        <v>97</v>
      </c>
      <c r="E121" s="29" t="s">
        <v>97</v>
      </c>
      <c r="F121" s="29" t="s">
        <v>97</v>
      </c>
      <c r="G121" s="29" t="s">
        <v>97</v>
      </c>
      <c r="H121" s="29" t="s">
        <v>97</v>
      </c>
      <c r="I121" s="29" t="s">
        <v>97</v>
      </c>
      <c r="J121" s="29" t="s">
        <v>97</v>
      </c>
      <c r="K121" s="29" t="s">
        <v>97</v>
      </c>
      <c r="L121" s="29" t="s">
        <v>97</v>
      </c>
      <c r="M121" s="29" t="s">
        <v>97</v>
      </c>
      <c r="N121" s="29" t="s">
        <v>97</v>
      </c>
      <c r="O121" s="29" t="s">
        <v>97</v>
      </c>
      <c r="P121" s="29" t="s">
        <v>97</v>
      </c>
      <c r="Q121" s="29" t="s">
        <v>97</v>
      </c>
      <c r="R121" s="29" t="s">
        <v>97</v>
      </c>
      <c r="S121" s="29" t="s">
        <v>97</v>
      </c>
      <c r="T121" s="29" t="s">
        <v>97</v>
      </c>
      <c r="U121" s="29" t="s">
        <v>97</v>
      </c>
      <c r="V121" s="29" t="s">
        <v>97</v>
      </c>
      <c r="W121" s="29" t="s">
        <v>97</v>
      </c>
      <c r="X121" s="29" t="s">
        <v>97</v>
      </c>
      <c r="Y121" s="29" t="s">
        <v>97</v>
      </c>
      <c r="Z121" s="29" t="s">
        <v>97</v>
      </c>
      <c r="AA121" s="19" t="s">
        <v>137</v>
      </c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9" t="str">
        <f t="shared" si="2"/>
        <v>После запуска дизеля проверить работу КИП.</v>
      </c>
      <c r="AR121" s="9"/>
    </row>
    <row r="122" spans="1:45" ht="24.95" customHeight="1" x14ac:dyDescent="0.2">
      <c r="A122" s="19">
        <v>4</v>
      </c>
      <c r="B122" s="19"/>
      <c r="C122" s="19"/>
      <c r="D122" s="29" t="s">
        <v>98</v>
      </c>
      <c r="E122" s="29" t="s">
        <v>98</v>
      </c>
      <c r="F122" s="29" t="s">
        <v>98</v>
      </c>
      <c r="G122" s="29" t="s">
        <v>98</v>
      </c>
      <c r="H122" s="29" t="s">
        <v>98</v>
      </c>
      <c r="I122" s="29" t="s">
        <v>98</v>
      </c>
      <c r="J122" s="29" t="s">
        <v>98</v>
      </c>
      <c r="K122" s="29" t="s">
        <v>98</v>
      </c>
      <c r="L122" s="29" t="s">
        <v>98</v>
      </c>
      <c r="M122" s="29" t="s">
        <v>98</v>
      </c>
      <c r="N122" s="29" t="s">
        <v>98</v>
      </c>
      <c r="O122" s="29" t="s">
        <v>98</v>
      </c>
      <c r="P122" s="29" t="s">
        <v>98</v>
      </c>
      <c r="Q122" s="29" t="s">
        <v>98</v>
      </c>
      <c r="R122" s="29" t="s">
        <v>98</v>
      </c>
      <c r="S122" s="29" t="s">
        <v>98</v>
      </c>
      <c r="T122" s="29" t="s">
        <v>98</v>
      </c>
      <c r="U122" s="29" t="s">
        <v>98</v>
      </c>
      <c r="V122" s="29" t="s">
        <v>98</v>
      </c>
      <c r="W122" s="29" t="s">
        <v>98</v>
      </c>
      <c r="X122" s="29" t="s">
        <v>98</v>
      </c>
      <c r="Y122" s="29" t="s">
        <v>98</v>
      </c>
      <c r="Z122" s="29" t="s">
        <v>98</v>
      </c>
      <c r="AA122" s="19" t="s">
        <v>137</v>
      </c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9" t="str">
        <f t="shared" si="2"/>
        <v>Проверить состояние антенн и крепления блоков радиостанции.</v>
      </c>
      <c r="AR122" s="9"/>
    </row>
    <row r="123" spans="1:45" ht="24.95" customHeight="1" x14ac:dyDescent="0.2">
      <c r="A123" s="37" t="s">
        <v>57</v>
      </c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9">
        <f t="shared" si="2"/>
        <v>0</v>
      </c>
      <c r="AR123" s="9"/>
      <c r="AS123" s="10"/>
    </row>
    <row r="124" spans="1:45" x14ac:dyDescent="0.2">
      <c r="AQ124" s="9">
        <f t="shared" si="2"/>
        <v>0</v>
      </c>
      <c r="AR124" s="9"/>
    </row>
    <row r="125" spans="1:45" x14ac:dyDescent="0.2">
      <c r="A125" s="22" t="s">
        <v>99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9">
        <f t="shared" si="2"/>
        <v>0</v>
      </c>
      <c r="AR125" s="9"/>
    </row>
    <row r="126" spans="1:45" ht="51" customHeight="1" x14ac:dyDescent="0.2">
      <c r="A126" s="19">
        <v>1</v>
      </c>
      <c r="B126" s="19"/>
      <c r="C126" s="19"/>
      <c r="D126" s="29" t="s">
        <v>100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19" t="s">
        <v>137</v>
      </c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9" t="str">
        <f t="shared" si="2"/>
        <v>Произвести текущий осмотр, проверку действия и регулировку: приемным катушкам, электропневматическому клапану, ЭПК-150, рукоятке бдительности, локомотивному светофору. Проверить состояние и крепление приборов АЛСН.</v>
      </c>
      <c r="AR126" s="9"/>
    </row>
    <row r="127" spans="1:45" ht="24.95" customHeight="1" x14ac:dyDescent="0.2">
      <c r="A127" s="19">
        <v>2</v>
      </c>
      <c r="B127" s="19"/>
      <c r="C127" s="19"/>
      <c r="D127" s="29" t="s">
        <v>101</v>
      </c>
      <c r="E127" s="29" t="s">
        <v>101</v>
      </c>
      <c r="F127" s="29" t="s">
        <v>101</v>
      </c>
      <c r="G127" s="29" t="s">
        <v>101</v>
      </c>
      <c r="H127" s="29" t="s">
        <v>101</v>
      </c>
      <c r="I127" s="29" t="s">
        <v>101</v>
      </c>
      <c r="J127" s="29" t="s">
        <v>101</v>
      </c>
      <c r="K127" s="29" t="s">
        <v>101</v>
      </c>
      <c r="L127" s="29" t="s">
        <v>101</v>
      </c>
      <c r="M127" s="29" t="s">
        <v>101</v>
      </c>
      <c r="N127" s="29" t="s">
        <v>101</v>
      </c>
      <c r="O127" s="29" t="s">
        <v>101</v>
      </c>
      <c r="P127" s="29" t="s">
        <v>101</v>
      </c>
      <c r="Q127" s="29" t="s">
        <v>101</v>
      </c>
      <c r="R127" s="29" t="s">
        <v>101</v>
      </c>
      <c r="S127" s="29" t="s">
        <v>101</v>
      </c>
      <c r="T127" s="29" t="s">
        <v>101</v>
      </c>
      <c r="U127" s="29" t="s">
        <v>101</v>
      </c>
      <c r="V127" s="29" t="s">
        <v>101</v>
      </c>
      <c r="W127" s="29" t="s">
        <v>101</v>
      </c>
      <c r="X127" s="29" t="s">
        <v>101</v>
      </c>
      <c r="Y127" s="29" t="s">
        <v>101</v>
      </c>
      <c r="Z127" s="29" t="s">
        <v>101</v>
      </c>
      <c r="AA127" s="19" t="s">
        <v>137</v>
      </c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9" t="str">
        <f t="shared" si="2"/>
        <v>Произвести ревизию эл. монтажа АЛСН.</v>
      </c>
      <c r="AR127" s="9"/>
      <c r="AS127" s="10"/>
    </row>
    <row r="128" spans="1:45" ht="38.25" customHeight="1" x14ac:dyDescent="0.2">
      <c r="A128" s="19">
        <v>3</v>
      </c>
      <c r="B128" s="19"/>
      <c r="C128" s="19"/>
      <c r="D128" s="29" t="s">
        <v>102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19" t="s">
        <v>137</v>
      </c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9" t="str">
        <f t="shared" si="2"/>
        <v>Измерить высоту приемных катушек, мм.
Передние__________        Задние___________</v>
      </c>
      <c r="AR128" s="9"/>
    </row>
    <row r="129" spans="1:45" ht="24.95" customHeight="1" x14ac:dyDescent="0.2">
      <c r="A129" s="37" t="s">
        <v>57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9">
        <f t="shared" si="2"/>
        <v>0</v>
      </c>
      <c r="AR129" s="9"/>
    </row>
    <row r="130" spans="1:45" x14ac:dyDescent="0.2">
      <c r="AQ130" s="9">
        <f t="shared" si="2"/>
        <v>0</v>
      </c>
      <c r="AR130" s="9"/>
    </row>
    <row r="131" spans="1:45" x14ac:dyDescent="0.2">
      <c r="A131" s="31" t="s">
        <v>103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9">
        <f t="shared" si="2"/>
        <v>0</v>
      </c>
      <c r="AR131" s="9"/>
    </row>
    <row r="132" spans="1:45" ht="51" customHeight="1" x14ac:dyDescent="0.2">
      <c r="A132" s="19">
        <v>1</v>
      </c>
      <c r="B132" s="19"/>
      <c r="C132" s="19"/>
      <c r="D132" s="29" t="s">
        <v>104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19" t="s">
        <v>137</v>
      </c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9" t="str">
        <f t="shared" si="2"/>
        <v>Произвести текущий осмотр, проверку действия и регулировку: усилителя, дешифратора, конденсаторного блока, сопротивлениям, локомотивному фильтру. Проверить состояние и крепление приборов АЛСН.</v>
      </c>
      <c r="AR132" s="9"/>
    </row>
    <row r="133" spans="1:45" ht="24.95" customHeight="1" x14ac:dyDescent="0.2">
      <c r="A133" s="37" t="s">
        <v>57</v>
      </c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9">
        <f t="shared" si="2"/>
        <v>0</v>
      </c>
      <c r="AR133" s="9"/>
    </row>
    <row r="134" spans="1:45" x14ac:dyDescent="0.2">
      <c r="AQ134" s="9">
        <f t="shared" si="2"/>
        <v>0</v>
      </c>
      <c r="AR134" s="9"/>
    </row>
    <row r="135" spans="1:45" x14ac:dyDescent="0.2">
      <c r="A135" s="22" t="s">
        <v>105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9">
        <f t="shared" si="2"/>
        <v>0</v>
      </c>
      <c r="AR135" s="9"/>
    </row>
    <row r="136" spans="1:45" ht="33" customHeight="1" x14ac:dyDescent="0.2">
      <c r="A136" s="30"/>
      <c r="B136" s="30"/>
      <c r="C136" s="19" t="s">
        <v>106</v>
      </c>
      <c r="D136" s="19"/>
      <c r="E136" s="19"/>
      <c r="F136" s="19"/>
      <c r="G136" s="19"/>
      <c r="H136" s="19"/>
      <c r="I136" s="19"/>
      <c r="J136" s="19"/>
      <c r="K136" s="19" t="s">
        <v>107</v>
      </c>
      <c r="L136" s="19"/>
      <c r="M136" s="19"/>
      <c r="N136" s="19"/>
      <c r="O136" s="19"/>
      <c r="P136" s="19"/>
      <c r="Q136" s="19"/>
      <c r="R136" s="19"/>
      <c r="S136" s="19" t="s">
        <v>108</v>
      </c>
      <c r="T136" s="19"/>
      <c r="U136" s="19"/>
      <c r="V136" s="19"/>
      <c r="W136" s="19"/>
      <c r="X136" s="19"/>
      <c r="Y136" s="19"/>
      <c r="Z136" s="19"/>
      <c r="AA136" s="19" t="s">
        <v>109</v>
      </c>
      <c r="AB136" s="19"/>
      <c r="AC136" s="19"/>
      <c r="AD136" s="19"/>
      <c r="AE136" s="19"/>
      <c r="AF136" s="19"/>
      <c r="AG136" s="19"/>
      <c r="AH136" s="19"/>
      <c r="AI136" s="19" t="s">
        <v>110</v>
      </c>
      <c r="AJ136" s="19"/>
      <c r="AK136" s="19"/>
      <c r="AL136" s="19"/>
      <c r="AM136" s="19"/>
      <c r="AN136" s="19"/>
      <c r="AO136" s="19"/>
      <c r="AP136" s="19"/>
      <c r="AQ136" s="9">
        <f t="shared" si="2"/>
        <v>0</v>
      </c>
      <c r="AR136" s="9"/>
    </row>
    <row r="137" spans="1:45" ht="17.25" customHeight="1" x14ac:dyDescent="0.2">
      <c r="A137" s="30"/>
      <c r="B137" s="30"/>
      <c r="C137" s="19" t="s">
        <v>111</v>
      </c>
      <c r="D137" s="19"/>
      <c r="E137" s="19"/>
      <c r="F137" s="19"/>
      <c r="G137" s="19" t="s">
        <v>112</v>
      </c>
      <c r="H137" s="19"/>
      <c r="I137" s="19"/>
      <c r="J137" s="19"/>
      <c r="K137" s="19" t="s">
        <v>111</v>
      </c>
      <c r="L137" s="19"/>
      <c r="M137" s="19"/>
      <c r="N137" s="19"/>
      <c r="O137" s="19" t="s">
        <v>112</v>
      </c>
      <c r="P137" s="19"/>
      <c r="Q137" s="19"/>
      <c r="R137" s="19"/>
      <c r="S137" s="19" t="s">
        <v>111</v>
      </c>
      <c r="T137" s="19"/>
      <c r="U137" s="19"/>
      <c r="V137" s="19"/>
      <c r="W137" s="19" t="s">
        <v>112</v>
      </c>
      <c r="X137" s="19"/>
      <c r="Y137" s="19"/>
      <c r="Z137" s="19"/>
      <c r="AA137" s="19" t="s">
        <v>111</v>
      </c>
      <c r="AB137" s="19"/>
      <c r="AC137" s="19"/>
      <c r="AD137" s="19"/>
      <c r="AE137" s="19" t="s">
        <v>112</v>
      </c>
      <c r="AF137" s="19"/>
      <c r="AG137" s="19"/>
      <c r="AH137" s="19"/>
      <c r="AI137" s="19" t="s">
        <v>111</v>
      </c>
      <c r="AJ137" s="19"/>
      <c r="AK137" s="19"/>
      <c r="AL137" s="19"/>
      <c r="AM137" s="19" t="s">
        <v>112</v>
      </c>
      <c r="AN137" s="19"/>
      <c r="AO137" s="19"/>
      <c r="AP137" s="19"/>
      <c r="AQ137" s="9">
        <f t="shared" si="2"/>
        <v>0</v>
      </c>
      <c r="AR137" s="9"/>
      <c r="AS137" s="10"/>
    </row>
    <row r="138" spans="1:45" ht="20.100000000000001" customHeight="1" x14ac:dyDescent="0.2">
      <c r="A138" s="44">
        <v>1</v>
      </c>
      <c r="B138" s="44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45"/>
      <c r="AJ138" s="45"/>
      <c r="AK138" s="45"/>
      <c r="AL138" s="45"/>
      <c r="AM138" s="45"/>
      <c r="AN138" s="45"/>
      <c r="AO138" s="45"/>
      <c r="AP138" s="45"/>
      <c r="AQ138" s="9">
        <f t="shared" si="2"/>
        <v>0</v>
      </c>
      <c r="AS138" s="10"/>
    </row>
    <row r="139" spans="1:45" ht="20.100000000000001" customHeight="1" x14ac:dyDescent="0.2">
      <c r="A139" s="44">
        <v>2</v>
      </c>
      <c r="B139" s="44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45"/>
      <c r="AJ139" s="45"/>
      <c r="AK139" s="45"/>
      <c r="AL139" s="45"/>
      <c r="AM139" s="45"/>
      <c r="AN139" s="45"/>
      <c r="AO139" s="45"/>
      <c r="AP139" s="45"/>
      <c r="AQ139" s="9">
        <f t="shared" si="2"/>
        <v>0</v>
      </c>
      <c r="AS139" s="10"/>
    </row>
    <row r="140" spans="1:45" ht="20.100000000000001" customHeight="1" x14ac:dyDescent="0.2">
      <c r="A140" s="44">
        <v>3</v>
      </c>
      <c r="B140" s="44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45"/>
      <c r="AJ140" s="45"/>
      <c r="AK140" s="45"/>
      <c r="AL140" s="45"/>
      <c r="AM140" s="45"/>
      <c r="AN140" s="45"/>
      <c r="AO140" s="45"/>
      <c r="AP140" s="45"/>
      <c r="AQ140" s="9">
        <f t="shared" si="2"/>
        <v>0</v>
      </c>
    </row>
    <row r="141" spans="1:45" ht="20.100000000000001" customHeight="1" x14ac:dyDescent="0.2">
      <c r="A141" s="44">
        <v>4</v>
      </c>
      <c r="B141" s="44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45"/>
      <c r="AJ141" s="45"/>
      <c r="AK141" s="45"/>
      <c r="AL141" s="45"/>
      <c r="AM141" s="45"/>
      <c r="AN141" s="45"/>
      <c r="AO141" s="45"/>
      <c r="AP141" s="45"/>
      <c r="AQ141" s="9">
        <f t="shared" si="2"/>
        <v>0</v>
      </c>
      <c r="AS141" s="10"/>
    </row>
    <row r="142" spans="1:45" ht="20.100000000000001" customHeight="1" x14ac:dyDescent="0.2">
      <c r="A142" s="44">
        <v>5</v>
      </c>
      <c r="B142" s="44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45"/>
      <c r="AJ142" s="45"/>
      <c r="AK142" s="45"/>
      <c r="AL142" s="45"/>
      <c r="AM142" s="45"/>
      <c r="AN142" s="45"/>
      <c r="AO142" s="45"/>
      <c r="AP142" s="45"/>
      <c r="AQ142" s="9">
        <f t="shared" si="2"/>
        <v>0</v>
      </c>
      <c r="AS142" s="10"/>
    </row>
    <row r="143" spans="1:45" ht="20.100000000000001" customHeight="1" x14ac:dyDescent="0.2">
      <c r="A143" s="44">
        <v>6</v>
      </c>
      <c r="B143" s="44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45"/>
      <c r="AJ143" s="45"/>
      <c r="AK143" s="45"/>
      <c r="AL143" s="45"/>
      <c r="AM143" s="45"/>
      <c r="AN143" s="45"/>
      <c r="AO143" s="45"/>
      <c r="AP143" s="45"/>
      <c r="AQ143" s="9">
        <f t="shared" si="2"/>
        <v>0</v>
      </c>
      <c r="AS143" s="10"/>
    </row>
    <row r="144" spans="1:45" ht="8.25" customHeight="1" x14ac:dyDescent="0.2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9">
        <f t="shared" si="2"/>
        <v>0</v>
      </c>
      <c r="AR144" s="9"/>
      <c r="AS144" s="10"/>
    </row>
    <row r="145" spans="1:45" x14ac:dyDescent="0.2">
      <c r="A145" s="22" t="s">
        <v>113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9">
        <f t="shared" si="2"/>
        <v>0</v>
      </c>
      <c r="AR145" s="9"/>
    </row>
    <row r="146" spans="1:45" ht="20.100000000000001" customHeight="1" x14ac:dyDescent="0.2">
      <c r="A146" s="46" t="s">
        <v>114</v>
      </c>
      <c r="B146" s="47"/>
      <c r="C146" s="47"/>
      <c r="D146" s="47"/>
      <c r="E146" s="47"/>
      <c r="F146" s="47"/>
      <c r="G146" s="47"/>
      <c r="H146" s="47"/>
      <c r="I146" s="48"/>
      <c r="J146" s="41" t="s">
        <v>111</v>
      </c>
      <c r="K146" s="42"/>
      <c r="L146" s="43"/>
      <c r="M146" s="41"/>
      <c r="N146" s="42"/>
      <c r="O146" s="42"/>
      <c r="P146" s="42"/>
      <c r="Q146" s="43"/>
      <c r="R146" s="41"/>
      <c r="S146" s="42"/>
      <c r="T146" s="42"/>
      <c r="U146" s="42"/>
      <c r="V146" s="43"/>
      <c r="W146" s="41"/>
      <c r="X146" s="42"/>
      <c r="Y146" s="42"/>
      <c r="Z146" s="42"/>
      <c r="AA146" s="43"/>
      <c r="AB146" s="41"/>
      <c r="AC146" s="42"/>
      <c r="AD146" s="42"/>
      <c r="AE146" s="42"/>
      <c r="AF146" s="43"/>
      <c r="AG146" s="41"/>
      <c r="AH146" s="42"/>
      <c r="AI146" s="42"/>
      <c r="AJ146" s="42"/>
      <c r="AK146" s="43"/>
      <c r="AL146" s="41"/>
      <c r="AM146" s="42"/>
      <c r="AN146" s="42"/>
      <c r="AO146" s="42"/>
      <c r="AP146" s="43"/>
      <c r="AQ146" s="9">
        <f t="shared" si="2"/>
        <v>0</v>
      </c>
      <c r="AR146" s="9"/>
    </row>
    <row r="147" spans="1:45" ht="20.100000000000001" customHeight="1" x14ac:dyDescent="0.2">
      <c r="A147" s="49"/>
      <c r="B147" s="50"/>
      <c r="C147" s="50"/>
      <c r="D147" s="50"/>
      <c r="E147" s="50"/>
      <c r="F147" s="50"/>
      <c r="G147" s="50"/>
      <c r="H147" s="50"/>
      <c r="I147" s="51"/>
      <c r="J147" s="41" t="s">
        <v>112</v>
      </c>
      <c r="K147" s="42"/>
      <c r="L147" s="43"/>
      <c r="M147" s="41"/>
      <c r="N147" s="42"/>
      <c r="O147" s="42"/>
      <c r="P147" s="42"/>
      <c r="Q147" s="43"/>
      <c r="R147" s="41"/>
      <c r="S147" s="42"/>
      <c r="T147" s="42"/>
      <c r="U147" s="42"/>
      <c r="V147" s="43"/>
      <c r="W147" s="41"/>
      <c r="X147" s="42"/>
      <c r="Y147" s="42"/>
      <c r="Z147" s="42"/>
      <c r="AA147" s="43"/>
      <c r="AB147" s="41"/>
      <c r="AC147" s="42"/>
      <c r="AD147" s="42"/>
      <c r="AE147" s="42"/>
      <c r="AF147" s="43"/>
      <c r="AG147" s="41"/>
      <c r="AH147" s="42"/>
      <c r="AI147" s="42"/>
      <c r="AJ147" s="42"/>
      <c r="AK147" s="43"/>
      <c r="AL147" s="41"/>
      <c r="AM147" s="42"/>
      <c r="AN147" s="42"/>
      <c r="AO147" s="42"/>
      <c r="AP147" s="43"/>
      <c r="AQ147" s="9">
        <f t="shared" si="2"/>
        <v>0</v>
      </c>
      <c r="AR147" s="9"/>
    </row>
    <row r="148" spans="1:45" ht="9" customHeight="1" x14ac:dyDescent="0.2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9">
        <f t="shared" si="2"/>
        <v>0</v>
      </c>
      <c r="AR148" s="9"/>
    </row>
    <row r="149" spans="1:45" x14ac:dyDescent="0.2">
      <c r="A149" s="14" t="s">
        <v>115</v>
      </c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5"/>
      <c r="AQ149" s="9">
        <f t="shared" si="2"/>
        <v>0</v>
      </c>
      <c r="AR149" s="9"/>
    </row>
    <row r="150" spans="1:45" ht="20.100000000000001" customHeight="1" x14ac:dyDescent="0.2">
      <c r="A150" s="19" t="s">
        <v>116</v>
      </c>
      <c r="B150" s="19"/>
      <c r="C150" s="19"/>
      <c r="D150" s="19"/>
      <c r="E150" s="19"/>
      <c r="F150" s="19"/>
      <c r="G150" s="19"/>
      <c r="H150" s="19"/>
      <c r="I150" s="19"/>
      <c r="J150" s="41" t="s">
        <v>111</v>
      </c>
      <c r="K150" s="42"/>
      <c r="L150" s="43"/>
      <c r="M150" s="41"/>
      <c r="N150" s="42"/>
      <c r="O150" s="42"/>
      <c r="P150" s="42"/>
      <c r="Q150" s="43"/>
      <c r="R150" s="41"/>
      <c r="S150" s="42"/>
      <c r="T150" s="42"/>
      <c r="U150" s="42"/>
      <c r="V150" s="43"/>
      <c r="W150" s="41"/>
      <c r="X150" s="42"/>
      <c r="Y150" s="42"/>
      <c r="Z150" s="42"/>
      <c r="AA150" s="43"/>
      <c r="AB150" s="41"/>
      <c r="AC150" s="42"/>
      <c r="AD150" s="42"/>
      <c r="AE150" s="42"/>
      <c r="AF150" s="43"/>
      <c r="AG150" s="41"/>
      <c r="AH150" s="42"/>
      <c r="AI150" s="42"/>
      <c r="AJ150" s="42"/>
      <c r="AK150" s="43"/>
      <c r="AL150" s="41"/>
      <c r="AM150" s="42"/>
      <c r="AN150" s="42"/>
      <c r="AO150" s="42"/>
      <c r="AP150" s="43"/>
      <c r="AQ150" s="9">
        <f t="shared" si="2"/>
        <v>0</v>
      </c>
      <c r="AR150" s="9"/>
    </row>
    <row r="151" spans="1:45" ht="20.100000000000001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41" t="s">
        <v>112</v>
      </c>
      <c r="K151" s="42"/>
      <c r="L151" s="43"/>
      <c r="M151" s="41"/>
      <c r="N151" s="42"/>
      <c r="O151" s="42"/>
      <c r="P151" s="42"/>
      <c r="Q151" s="43"/>
      <c r="R151" s="41"/>
      <c r="S151" s="42"/>
      <c r="T151" s="42"/>
      <c r="U151" s="42"/>
      <c r="V151" s="43"/>
      <c r="W151" s="41"/>
      <c r="X151" s="42"/>
      <c r="Y151" s="42"/>
      <c r="Z151" s="42"/>
      <c r="AA151" s="43"/>
      <c r="AB151" s="41"/>
      <c r="AC151" s="42"/>
      <c r="AD151" s="42"/>
      <c r="AE151" s="42"/>
      <c r="AF151" s="43"/>
      <c r="AG151" s="41"/>
      <c r="AH151" s="42"/>
      <c r="AI151" s="42"/>
      <c r="AJ151" s="42"/>
      <c r="AK151" s="43"/>
      <c r="AL151" s="41"/>
      <c r="AM151" s="42"/>
      <c r="AN151" s="42"/>
      <c r="AO151" s="42"/>
      <c r="AP151" s="43"/>
      <c r="AQ151" s="9">
        <f t="shared" si="2"/>
        <v>0</v>
      </c>
      <c r="AR151" s="9"/>
    </row>
    <row r="152" spans="1:45" ht="20.100000000000001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41" t="s">
        <v>117</v>
      </c>
      <c r="K152" s="42"/>
      <c r="L152" s="43"/>
      <c r="M152" s="41"/>
      <c r="N152" s="42"/>
      <c r="O152" s="42"/>
      <c r="P152" s="42"/>
      <c r="Q152" s="43"/>
      <c r="R152" s="41"/>
      <c r="S152" s="42"/>
      <c r="T152" s="42"/>
      <c r="U152" s="42"/>
      <c r="V152" s="43"/>
      <c r="W152" s="41"/>
      <c r="X152" s="42"/>
      <c r="Y152" s="42"/>
      <c r="Z152" s="42"/>
      <c r="AA152" s="43"/>
      <c r="AB152" s="41"/>
      <c r="AC152" s="42"/>
      <c r="AD152" s="42"/>
      <c r="AE152" s="42"/>
      <c r="AF152" s="43"/>
      <c r="AG152" s="41"/>
      <c r="AH152" s="42"/>
      <c r="AI152" s="42"/>
      <c r="AJ152" s="42"/>
      <c r="AK152" s="43"/>
      <c r="AL152" s="41"/>
      <c r="AM152" s="42"/>
      <c r="AN152" s="42"/>
      <c r="AO152" s="42"/>
      <c r="AP152" s="43"/>
      <c r="AQ152" s="9">
        <f t="shared" si="2"/>
        <v>0</v>
      </c>
      <c r="AR152" s="9"/>
    </row>
    <row r="153" spans="1:45" ht="24.95" customHeight="1" x14ac:dyDescent="0.2">
      <c r="A153" s="37" t="s">
        <v>57</v>
      </c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9">
        <f t="shared" si="2"/>
        <v>0</v>
      </c>
      <c r="AR153" s="9"/>
    </row>
    <row r="154" spans="1:45" ht="8.25" customHeight="1" x14ac:dyDescent="0.2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9">
        <f t="shared" si="2"/>
        <v>0</v>
      </c>
      <c r="AR154" s="9"/>
      <c r="AS154" s="10"/>
    </row>
    <row r="155" spans="1:45" ht="24.95" customHeight="1" x14ac:dyDescent="0.2">
      <c r="A155" s="52" t="s">
        <v>118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9"/>
      <c r="AR155" s="9"/>
    </row>
    <row r="156" spans="1:45" ht="24.95" customHeight="1" x14ac:dyDescent="0.2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9"/>
      <c r="AR156" s="9"/>
    </row>
    <row r="157" spans="1:45" ht="24.95" customHeight="1" x14ac:dyDescent="0.2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9"/>
      <c r="AR157" s="9"/>
    </row>
    <row r="158" spans="1:45" ht="24.95" customHeight="1" x14ac:dyDescent="0.2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9"/>
      <c r="AR158" s="9"/>
    </row>
    <row r="159" spans="1:45" ht="24.95" customHeight="1" x14ac:dyDescent="0.2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9"/>
      <c r="AR159" s="9"/>
    </row>
    <row r="160" spans="1:45" ht="24.95" customHeight="1" x14ac:dyDescent="0.2">
      <c r="A160" s="37" t="s">
        <v>57</v>
      </c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9">
        <f t="shared" ref="AQ160" si="3">D160</f>
        <v>0</v>
      </c>
      <c r="AR160" s="9"/>
    </row>
    <row r="161" spans="1:50" ht="8.25" customHeight="1" x14ac:dyDescent="0.2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9"/>
      <c r="AR161" s="9"/>
      <c r="AS161" s="10"/>
    </row>
    <row r="162" spans="1:50" x14ac:dyDescent="0.2">
      <c r="A162" s="14" t="s">
        <v>119</v>
      </c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5"/>
      <c r="AQ162" s="9">
        <f t="shared" ref="AQ162" si="4">D162</f>
        <v>0</v>
      </c>
      <c r="AR162" s="9"/>
      <c r="AS162" s="10"/>
    </row>
    <row r="163" spans="1:50" ht="24.95" customHeight="1" x14ac:dyDescent="0.2">
      <c r="A163" s="54" t="s">
        <v>120</v>
      </c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19" t="s">
        <v>121</v>
      </c>
      <c r="AD163" s="19"/>
      <c r="AE163" s="19"/>
      <c r="AF163" s="19"/>
      <c r="AG163" s="19"/>
      <c r="AH163" s="19"/>
      <c r="AI163" s="19"/>
      <c r="AJ163" s="19" t="s">
        <v>122</v>
      </c>
      <c r="AK163" s="19"/>
      <c r="AL163" s="19"/>
      <c r="AM163" s="19"/>
      <c r="AN163" s="19"/>
      <c r="AO163" s="19"/>
      <c r="AP163" s="19"/>
      <c r="AQ163" s="9"/>
      <c r="AR163" s="9"/>
      <c r="AS163" s="10"/>
    </row>
    <row r="164" spans="1:50" ht="24.95" customHeight="1" x14ac:dyDescent="0.2">
      <c r="A164" s="53" t="s">
        <v>123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9"/>
      <c r="AR164" s="9"/>
      <c r="AS164" s="10"/>
    </row>
    <row r="165" spans="1:50" ht="24.95" customHeight="1" x14ac:dyDescent="0.2">
      <c r="A165" s="53" t="s">
        <v>124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9"/>
      <c r="AR165" s="9"/>
      <c r="AS165" s="10"/>
    </row>
    <row r="166" spans="1:50" ht="24.95" customHeight="1" x14ac:dyDescent="0.2">
      <c r="A166" s="53" t="s">
        <v>125</v>
      </c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9"/>
      <c r="AR166" s="9"/>
      <c r="AS166" s="10"/>
    </row>
    <row r="167" spans="1:50" ht="24.95" customHeight="1" x14ac:dyDescent="0.2">
      <c r="A167" s="37" t="s">
        <v>57</v>
      </c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9">
        <f t="shared" ref="AQ167" si="5">D167</f>
        <v>0</v>
      </c>
      <c r="AR167" s="9"/>
      <c r="AS167" s="10"/>
    </row>
    <row r="168" spans="1:50" ht="8.25" customHeight="1" x14ac:dyDescent="0.2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9"/>
      <c r="AR168" s="9"/>
    </row>
    <row r="169" spans="1:50" x14ac:dyDescent="0.2">
      <c r="A169" s="14" t="s">
        <v>126</v>
      </c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5"/>
      <c r="AQ169" s="9">
        <f t="shared" ref="AQ169" si="6">D169</f>
        <v>0</v>
      </c>
      <c r="AR169" s="9"/>
    </row>
    <row r="170" spans="1:50" ht="24.95" customHeight="1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19" t="s">
        <v>127</v>
      </c>
      <c r="AD170" s="19"/>
      <c r="AE170" s="19"/>
      <c r="AF170" s="19"/>
      <c r="AG170" s="19"/>
      <c r="AH170" s="19"/>
      <c r="AI170" s="19"/>
      <c r="AJ170" s="19" t="s">
        <v>128</v>
      </c>
      <c r="AK170" s="19"/>
      <c r="AL170" s="19"/>
      <c r="AM170" s="19"/>
      <c r="AN170" s="19"/>
      <c r="AO170" s="19"/>
      <c r="AP170" s="19"/>
      <c r="AQ170" s="9"/>
      <c r="AR170" s="9"/>
    </row>
    <row r="171" spans="1:50" ht="24.95" customHeight="1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9"/>
      <c r="AR171" s="9"/>
      <c r="AT171" s="18"/>
      <c r="AU171" s="18"/>
      <c r="AV171" s="18"/>
      <c r="AW171" s="18"/>
      <c r="AX171" s="18"/>
    </row>
    <row r="172" spans="1:50" ht="24.95" customHeight="1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9"/>
      <c r="AR172" s="9"/>
      <c r="AS172" s="18"/>
      <c r="AT172" s="18"/>
      <c r="AU172" s="18"/>
      <c r="AV172" s="18"/>
      <c r="AW172" s="18"/>
      <c r="AX172" s="18"/>
    </row>
    <row r="173" spans="1:50" ht="24.95" customHeight="1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9"/>
      <c r="AR173" s="9"/>
      <c r="AS173" s="18"/>
      <c r="AT173" s="18"/>
      <c r="AU173" s="18"/>
      <c r="AV173" s="18"/>
      <c r="AW173" s="18"/>
      <c r="AX173" s="18"/>
    </row>
    <row r="174" spans="1:50" ht="24.95" customHeight="1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9"/>
      <c r="AR174" s="9"/>
      <c r="AS174" s="18"/>
    </row>
    <row r="175" spans="1:50" ht="24.95" customHeight="1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9"/>
      <c r="AR175" s="9"/>
    </row>
    <row r="176" spans="1:50" ht="8.25" customHeight="1" x14ac:dyDescent="0.2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9"/>
      <c r="AR176" s="9"/>
    </row>
    <row r="177" spans="1:50" ht="30" customHeight="1" x14ac:dyDescent="0.2">
      <c r="A177" s="56" t="s">
        <v>129</v>
      </c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9">
        <f t="shared" si="2"/>
        <v>0</v>
      </c>
      <c r="AR177" s="9"/>
    </row>
    <row r="178" spans="1:50" x14ac:dyDescent="0.2">
      <c r="AQ178" s="9">
        <f>D178</f>
        <v>0</v>
      </c>
      <c r="AR178" s="9"/>
    </row>
    <row r="179" spans="1:50" s="18" customFormat="1" ht="19.5" customHeight="1" x14ac:dyDescent="0.2">
      <c r="A179" s="17" t="s">
        <v>130</v>
      </c>
      <c r="AQ179" s="9">
        <f>D179</f>
        <v>0</v>
      </c>
      <c r="AR179" s="9"/>
      <c r="AS179" s="1"/>
      <c r="AT179" s="1"/>
      <c r="AU179" s="1"/>
      <c r="AV179" s="1"/>
      <c r="AW179" s="1"/>
      <c r="AX179" s="1"/>
    </row>
    <row r="180" spans="1:50" s="18" customFormat="1" x14ac:dyDescent="0.2">
      <c r="B180" s="17"/>
      <c r="AQ180" s="9">
        <f>D180</f>
        <v>0</v>
      </c>
      <c r="AR180" s="9"/>
      <c r="AS180" s="1"/>
      <c r="AT180" s="1"/>
      <c r="AU180" s="1"/>
      <c r="AV180" s="1"/>
      <c r="AW180" s="1"/>
      <c r="AX180" s="1"/>
    </row>
    <row r="181" spans="1:50" s="18" customFormat="1" ht="19.5" customHeight="1" x14ac:dyDescent="0.2">
      <c r="A181" s="18" t="s">
        <v>131</v>
      </c>
      <c r="AQ181" s="9">
        <f>D181</f>
        <v>0</v>
      </c>
      <c r="AR181" s="9"/>
      <c r="AS181" s="1"/>
      <c r="AT181" s="1"/>
      <c r="AU181" s="1"/>
      <c r="AV181" s="1"/>
      <c r="AW181" s="1"/>
      <c r="AX181" s="1"/>
    </row>
    <row r="182" spans="1:50" x14ac:dyDescent="0.2">
      <c r="AQ182" s="9">
        <f>D182</f>
        <v>0</v>
      </c>
      <c r="AR182" s="9"/>
    </row>
  </sheetData>
  <mergeCells count="574">
    <mergeCell ref="A175:AB175"/>
    <mergeCell ref="AC175:AI175"/>
    <mergeCell ref="AJ175:AP175"/>
    <mergeCell ref="A177:AP177"/>
    <mergeCell ref="A173:AB173"/>
    <mergeCell ref="AC173:AI173"/>
    <mergeCell ref="AJ173:AP173"/>
    <mergeCell ref="A174:AB174"/>
    <mergeCell ref="AC174:AI174"/>
    <mergeCell ref="AJ174:AP174"/>
    <mergeCell ref="AL152:AP152"/>
    <mergeCell ref="A171:AB171"/>
    <mergeCell ref="AC171:AI171"/>
    <mergeCell ref="AJ171:AP171"/>
    <mergeCell ref="A172:AB172"/>
    <mergeCell ref="AC172:AI172"/>
    <mergeCell ref="AJ172:AP172"/>
    <mergeCell ref="A166:AB166"/>
    <mergeCell ref="AC166:AI166"/>
    <mergeCell ref="AJ166:AP166"/>
    <mergeCell ref="A167:AP167"/>
    <mergeCell ref="A170:AB170"/>
    <mergeCell ref="AC170:AI170"/>
    <mergeCell ref="AJ170:AP170"/>
    <mergeCell ref="A164:AB164"/>
    <mergeCell ref="AC164:AI164"/>
    <mergeCell ref="AJ164:AP164"/>
    <mergeCell ref="A165:AB165"/>
    <mergeCell ref="AC165:AI165"/>
    <mergeCell ref="AJ165:AP165"/>
    <mergeCell ref="A157:AP157"/>
    <mergeCell ref="A158:AP158"/>
    <mergeCell ref="A159:AP159"/>
    <mergeCell ref="A160:AP160"/>
    <mergeCell ref="A163:AB163"/>
    <mergeCell ref="AC163:AI163"/>
    <mergeCell ref="AJ163:AP163"/>
    <mergeCell ref="A153:AP153"/>
    <mergeCell ref="A155:AP155"/>
    <mergeCell ref="A156:AP156"/>
    <mergeCell ref="AG150:AK150"/>
    <mergeCell ref="AL150:AP150"/>
    <mergeCell ref="J151:L151"/>
    <mergeCell ref="M151:Q151"/>
    <mergeCell ref="R151:V151"/>
    <mergeCell ref="W151:AA151"/>
    <mergeCell ref="AB151:AF151"/>
    <mergeCell ref="AG151:AK151"/>
    <mergeCell ref="AL151:AP151"/>
    <mergeCell ref="A150:I152"/>
    <mergeCell ref="J150:L150"/>
    <mergeCell ref="M150:Q150"/>
    <mergeCell ref="R150:V150"/>
    <mergeCell ref="W150:AA150"/>
    <mergeCell ref="AB150:AF150"/>
    <mergeCell ref="J152:L152"/>
    <mergeCell ref="M152:Q152"/>
    <mergeCell ref="R152:V152"/>
    <mergeCell ref="W152:AA152"/>
    <mergeCell ref="AB152:AF152"/>
    <mergeCell ref="AG152:AK152"/>
    <mergeCell ref="AB146:AF146"/>
    <mergeCell ref="W143:Z143"/>
    <mergeCell ref="AA143:AD143"/>
    <mergeCell ref="AE143:AH143"/>
    <mergeCell ref="AG146:AK146"/>
    <mergeCell ref="W147:AA147"/>
    <mergeCell ref="AB147:AF147"/>
    <mergeCell ref="AG147:AK147"/>
    <mergeCell ref="AL147:AP147"/>
    <mergeCell ref="AL146:AP146"/>
    <mergeCell ref="J147:L147"/>
    <mergeCell ref="M147:Q147"/>
    <mergeCell ref="R147:V147"/>
    <mergeCell ref="S142:V142"/>
    <mergeCell ref="W142:Z142"/>
    <mergeCell ref="AA142:AD142"/>
    <mergeCell ref="AE142:AH142"/>
    <mergeCell ref="AI142:AL142"/>
    <mergeCell ref="AM142:AP142"/>
    <mergeCell ref="AI143:AL143"/>
    <mergeCell ref="AM143:AP143"/>
    <mergeCell ref="A145:AP145"/>
    <mergeCell ref="A143:B143"/>
    <mergeCell ref="C143:F143"/>
    <mergeCell ref="G143:J143"/>
    <mergeCell ref="K143:N143"/>
    <mergeCell ref="O143:R143"/>
    <mergeCell ref="S143:V143"/>
    <mergeCell ref="A146:I147"/>
    <mergeCell ref="J146:L146"/>
    <mergeCell ref="M146:Q146"/>
    <mergeCell ref="R146:V146"/>
    <mergeCell ref="W146:AA146"/>
    <mergeCell ref="W141:Z141"/>
    <mergeCell ref="AA141:AD141"/>
    <mergeCell ref="AE141:AH141"/>
    <mergeCell ref="AI141:AL141"/>
    <mergeCell ref="AM141:AP141"/>
    <mergeCell ref="S141:V141"/>
    <mergeCell ref="A142:B142"/>
    <mergeCell ref="C142:F142"/>
    <mergeCell ref="G142:J142"/>
    <mergeCell ref="K142:N142"/>
    <mergeCell ref="O142:R142"/>
    <mergeCell ref="A141:B141"/>
    <mergeCell ref="C141:F141"/>
    <mergeCell ref="G141:J141"/>
    <mergeCell ref="K141:N141"/>
    <mergeCell ref="O141:R141"/>
    <mergeCell ref="S140:V140"/>
    <mergeCell ref="W140:Z140"/>
    <mergeCell ref="AA140:AD140"/>
    <mergeCell ref="AE140:AH140"/>
    <mergeCell ref="AI140:AL140"/>
    <mergeCell ref="AM140:AP140"/>
    <mergeCell ref="W139:Z139"/>
    <mergeCell ref="AA139:AD139"/>
    <mergeCell ref="AE139:AH139"/>
    <mergeCell ref="AI139:AL139"/>
    <mergeCell ref="AM139:AP139"/>
    <mergeCell ref="S139:V139"/>
    <mergeCell ref="A140:B140"/>
    <mergeCell ref="C140:F140"/>
    <mergeCell ref="G140:J140"/>
    <mergeCell ref="K140:N140"/>
    <mergeCell ref="O140:R140"/>
    <mergeCell ref="A139:B139"/>
    <mergeCell ref="C139:F139"/>
    <mergeCell ref="G139:J139"/>
    <mergeCell ref="K139:N139"/>
    <mergeCell ref="O139:R139"/>
    <mergeCell ref="S138:V138"/>
    <mergeCell ref="W138:Z138"/>
    <mergeCell ref="AA138:AD138"/>
    <mergeCell ref="AE138:AH138"/>
    <mergeCell ref="AI138:AL138"/>
    <mergeCell ref="AM138:AP138"/>
    <mergeCell ref="W137:Z137"/>
    <mergeCell ref="AA137:AD137"/>
    <mergeCell ref="AE137:AH137"/>
    <mergeCell ref="AI137:AL137"/>
    <mergeCell ref="AM137:AP137"/>
    <mergeCell ref="S137:V137"/>
    <mergeCell ref="A138:B138"/>
    <mergeCell ref="C138:F138"/>
    <mergeCell ref="G138:J138"/>
    <mergeCell ref="K138:N138"/>
    <mergeCell ref="O138:R138"/>
    <mergeCell ref="A137:B137"/>
    <mergeCell ref="C137:F137"/>
    <mergeCell ref="G137:J137"/>
    <mergeCell ref="K137:N137"/>
    <mergeCell ref="O137:R137"/>
    <mergeCell ref="A136:B136"/>
    <mergeCell ref="C136:J136"/>
    <mergeCell ref="K136:R136"/>
    <mergeCell ref="S136:Z136"/>
    <mergeCell ref="AA136:AH136"/>
    <mergeCell ref="AI136:AP136"/>
    <mergeCell ref="A132:C132"/>
    <mergeCell ref="D132:Z132"/>
    <mergeCell ref="AA132:AH132"/>
    <mergeCell ref="AI132:AP132"/>
    <mergeCell ref="A133:AP133"/>
    <mergeCell ref="A135:AP135"/>
    <mergeCell ref="A128:C128"/>
    <mergeCell ref="D128:Z128"/>
    <mergeCell ref="AA128:AH128"/>
    <mergeCell ref="AI128:AP128"/>
    <mergeCell ref="A129:AP129"/>
    <mergeCell ref="A131:AP131"/>
    <mergeCell ref="A126:C126"/>
    <mergeCell ref="D126:Z126"/>
    <mergeCell ref="AA126:AH126"/>
    <mergeCell ref="AI126:AP126"/>
    <mergeCell ref="A127:C127"/>
    <mergeCell ref="D127:Z127"/>
    <mergeCell ref="AA127:AH127"/>
    <mergeCell ref="AI127:AP127"/>
    <mergeCell ref="A122:C122"/>
    <mergeCell ref="D122:Z122"/>
    <mergeCell ref="AA122:AH122"/>
    <mergeCell ref="AI122:AP122"/>
    <mergeCell ref="A123:AP123"/>
    <mergeCell ref="A125:AP125"/>
    <mergeCell ref="A120:C120"/>
    <mergeCell ref="D120:Z120"/>
    <mergeCell ref="AA120:AH120"/>
    <mergeCell ref="AI120:AP120"/>
    <mergeCell ref="A121:C121"/>
    <mergeCell ref="D121:Z121"/>
    <mergeCell ref="AA121:AH121"/>
    <mergeCell ref="AI121:AP121"/>
    <mergeCell ref="A116:AP116"/>
    <mergeCell ref="A118:AP118"/>
    <mergeCell ref="A119:C119"/>
    <mergeCell ref="D119:Z119"/>
    <mergeCell ref="AA119:AH119"/>
    <mergeCell ref="AI119:AP119"/>
    <mergeCell ref="A114:C114"/>
    <mergeCell ref="D114:Z114"/>
    <mergeCell ref="AA114:AH114"/>
    <mergeCell ref="AI114:AP114"/>
    <mergeCell ref="A115:C115"/>
    <mergeCell ref="D115:Z115"/>
    <mergeCell ref="AA115:AH115"/>
    <mergeCell ref="AI115:AP115"/>
    <mergeCell ref="A112:C112"/>
    <mergeCell ref="D112:Z112"/>
    <mergeCell ref="AA112:AH112"/>
    <mergeCell ref="AI112:AP112"/>
    <mergeCell ref="A113:C113"/>
    <mergeCell ref="D113:Z113"/>
    <mergeCell ref="AA113:AH113"/>
    <mergeCell ref="AI113:AP113"/>
    <mergeCell ref="A110:C110"/>
    <mergeCell ref="D110:Z110"/>
    <mergeCell ref="AA110:AH110"/>
    <mergeCell ref="AI110:AP110"/>
    <mergeCell ref="A111:C111"/>
    <mergeCell ref="D111:Z111"/>
    <mergeCell ref="AA111:AH111"/>
    <mergeCell ref="AI111:AP111"/>
    <mergeCell ref="A106:C106"/>
    <mergeCell ref="D106:Z106"/>
    <mergeCell ref="AA106:AH106"/>
    <mergeCell ref="AI106:AP106"/>
    <mergeCell ref="A107:AP107"/>
    <mergeCell ref="A109:AP109"/>
    <mergeCell ref="A104:C104"/>
    <mergeCell ref="D104:Z104"/>
    <mergeCell ref="AA104:AH104"/>
    <mergeCell ref="AI104:AP104"/>
    <mergeCell ref="A105:C105"/>
    <mergeCell ref="D105:Z105"/>
    <mergeCell ref="AA105:AH105"/>
    <mergeCell ref="AI105:AP105"/>
    <mergeCell ref="A102:C102"/>
    <mergeCell ref="D102:Z102"/>
    <mergeCell ref="AA102:AH102"/>
    <mergeCell ref="AI102:AP102"/>
    <mergeCell ref="A103:C103"/>
    <mergeCell ref="D103:Z103"/>
    <mergeCell ref="AA103:AH103"/>
    <mergeCell ref="AI103:AP103"/>
    <mergeCell ref="A100:C100"/>
    <mergeCell ref="D100:Z100"/>
    <mergeCell ref="AA100:AH100"/>
    <mergeCell ref="AI100:AP100"/>
    <mergeCell ref="A101:C101"/>
    <mergeCell ref="D101:Z101"/>
    <mergeCell ref="AA101:AH101"/>
    <mergeCell ref="AI101:AP101"/>
    <mergeCell ref="A96:AP96"/>
    <mergeCell ref="A98:AP98"/>
    <mergeCell ref="A99:C99"/>
    <mergeCell ref="D99:Z99"/>
    <mergeCell ref="AA99:AH99"/>
    <mergeCell ref="AI99:AP99"/>
    <mergeCell ref="A91:C91"/>
    <mergeCell ref="D91:Z91"/>
    <mergeCell ref="AA91:AH91"/>
    <mergeCell ref="AI91:AP91"/>
    <mergeCell ref="A92:AP92"/>
    <mergeCell ref="A95:C95"/>
    <mergeCell ref="D95:Z95"/>
    <mergeCell ref="AA95:AH95"/>
    <mergeCell ref="AI95:AP95"/>
    <mergeCell ref="A86:AP86"/>
    <mergeCell ref="A89:C89"/>
    <mergeCell ref="D89:Z89"/>
    <mergeCell ref="AA89:AH89"/>
    <mergeCell ref="AI89:AP89"/>
    <mergeCell ref="A90:C90"/>
    <mergeCell ref="D90:Z90"/>
    <mergeCell ref="AA90:AH90"/>
    <mergeCell ref="AI90:AP90"/>
    <mergeCell ref="A84:C84"/>
    <mergeCell ref="D84:Z84"/>
    <mergeCell ref="AA84:AH84"/>
    <mergeCell ref="AI84:AP84"/>
    <mergeCell ref="A85:C85"/>
    <mergeCell ref="D85:Z85"/>
    <mergeCell ref="AA85:AH85"/>
    <mergeCell ref="AI85:AP85"/>
    <mergeCell ref="A82:C82"/>
    <mergeCell ref="D82:Z82"/>
    <mergeCell ref="AA82:AH82"/>
    <mergeCell ref="AI82:AP82"/>
    <mergeCell ref="A83:C83"/>
    <mergeCell ref="D83:Z83"/>
    <mergeCell ref="AA83:AH83"/>
    <mergeCell ref="AI83:AP83"/>
    <mergeCell ref="A80:C80"/>
    <mergeCell ref="D80:Z80"/>
    <mergeCell ref="AA80:AH80"/>
    <mergeCell ref="AI80:AP80"/>
    <mergeCell ref="A81:C81"/>
    <mergeCell ref="D81:Z81"/>
    <mergeCell ref="AA81:AH81"/>
    <mergeCell ref="AI81:AP81"/>
    <mergeCell ref="A75:C75"/>
    <mergeCell ref="D75:Z75"/>
    <mergeCell ref="AA75:AH75"/>
    <mergeCell ref="AI75:AP75"/>
    <mergeCell ref="A76:AP76"/>
    <mergeCell ref="A78:AP78"/>
    <mergeCell ref="A73:C73"/>
    <mergeCell ref="D73:Z73"/>
    <mergeCell ref="AA73:AH73"/>
    <mergeCell ref="AI73:AP73"/>
    <mergeCell ref="A74:C74"/>
    <mergeCell ref="D74:Z74"/>
    <mergeCell ref="AA74:AH74"/>
    <mergeCell ref="AI74:AP74"/>
    <mergeCell ref="A71:C71"/>
    <mergeCell ref="D71:Z71"/>
    <mergeCell ref="AA71:AH71"/>
    <mergeCell ref="AI71:AP71"/>
    <mergeCell ref="A72:C72"/>
    <mergeCell ref="D72:Z72"/>
    <mergeCell ref="AA72:AH72"/>
    <mergeCell ref="AI72:AP72"/>
    <mergeCell ref="A69:AP69"/>
    <mergeCell ref="A70:C70"/>
    <mergeCell ref="D70:Z70"/>
    <mergeCell ref="AA70:AH70"/>
    <mergeCell ref="AI70:AP70"/>
    <mergeCell ref="A65:N65"/>
    <mergeCell ref="O65:S65"/>
    <mergeCell ref="X65:AK65"/>
    <mergeCell ref="AL65:AP65"/>
    <mergeCell ref="A66:N66"/>
    <mergeCell ref="O66:S66"/>
    <mergeCell ref="X66:AK66"/>
    <mergeCell ref="AL66:AP66"/>
    <mergeCell ref="A67:AP67"/>
    <mergeCell ref="A62:I63"/>
    <mergeCell ref="J62:M63"/>
    <mergeCell ref="N62:R62"/>
    <mergeCell ref="S62:V62"/>
    <mergeCell ref="W62:Z62"/>
    <mergeCell ref="AA62:AD62"/>
    <mergeCell ref="AE62:AH62"/>
    <mergeCell ref="AI62:AL62"/>
    <mergeCell ref="AE60:AH60"/>
    <mergeCell ref="AE61:AH61"/>
    <mergeCell ref="AI61:AL61"/>
    <mergeCell ref="AM62:AP62"/>
    <mergeCell ref="N63:R63"/>
    <mergeCell ref="S63:V63"/>
    <mergeCell ref="W63:Z63"/>
    <mergeCell ref="AA63:AD63"/>
    <mergeCell ref="AE63:AH63"/>
    <mergeCell ref="AI63:AL63"/>
    <mergeCell ref="AM63:AP63"/>
    <mergeCell ref="A59:I61"/>
    <mergeCell ref="J59:M59"/>
    <mergeCell ref="N59:R59"/>
    <mergeCell ref="S59:V59"/>
    <mergeCell ref="W59:Z59"/>
    <mergeCell ref="AA59:AD59"/>
    <mergeCell ref="AE59:AH59"/>
    <mergeCell ref="AI59:AL59"/>
    <mergeCell ref="AM59:AP59"/>
    <mergeCell ref="AI60:AL60"/>
    <mergeCell ref="AM60:AP60"/>
    <mergeCell ref="J61:M61"/>
    <mergeCell ref="N61:R61"/>
    <mergeCell ref="S61:V61"/>
    <mergeCell ref="W61:Z61"/>
    <mergeCell ref="AA61:AD61"/>
    <mergeCell ref="AM61:AP61"/>
    <mergeCell ref="J60:M60"/>
    <mergeCell ref="N60:R60"/>
    <mergeCell ref="S60:V60"/>
    <mergeCell ref="W60:Z60"/>
    <mergeCell ref="AA60:AD60"/>
    <mergeCell ref="A56:C56"/>
    <mergeCell ref="D56:Z56"/>
    <mergeCell ref="AA56:AH56"/>
    <mergeCell ref="AI56:AP56"/>
    <mergeCell ref="A58:R58"/>
    <mergeCell ref="S58:V58"/>
    <mergeCell ref="W58:Z58"/>
    <mergeCell ref="AA58:AD58"/>
    <mergeCell ref="AE58:AH58"/>
    <mergeCell ref="AI58:AL58"/>
    <mergeCell ref="AM58:AP58"/>
    <mergeCell ref="A54:C54"/>
    <mergeCell ref="D54:Z54"/>
    <mergeCell ref="AA54:AH54"/>
    <mergeCell ref="AI54:AP54"/>
    <mergeCell ref="A55:C55"/>
    <mergeCell ref="D55:Z55"/>
    <mergeCell ref="AA55:AH55"/>
    <mergeCell ref="AI55:AP55"/>
    <mergeCell ref="A52:C52"/>
    <mergeCell ref="D52:Z52"/>
    <mergeCell ref="AA52:AH52"/>
    <mergeCell ref="AI52:AP52"/>
    <mergeCell ref="A53:C53"/>
    <mergeCell ref="D53:Z53"/>
    <mergeCell ref="AA53:AH53"/>
    <mergeCell ref="AI53:AP53"/>
    <mergeCell ref="A50:C50"/>
    <mergeCell ref="D50:Z50"/>
    <mergeCell ref="AA50:AH50"/>
    <mergeCell ref="AI50:AP50"/>
    <mergeCell ref="A51:C51"/>
    <mergeCell ref="D51:Z51"/>
    <mergeCell ref="AA51:AH51"/>
    <mergeCell ref="AI51:AP51"/>
    <mergeCell ref="A48:C48"/>
    <mergeCell ref="D48:Z48"/>
    <mergeCell ref="AA48:AH48"/>
    <mergeCell ref="AI48:AP48"/>
    <mergeCell ref="A49:C49"/>
    <mergeCell ref="D49:Z49"/>
    <mergeCell ref="AA49:AH49"/>
    <mergeCell ref="AI49:AP49"/>
    <mergeCell ref="A46:C46"/>
    <mergeCell ref="D46:Z46"/>
    <mergeCell ref="AA46:AH46"/>
    <mergeCell ref="AI46:AP46"/>
    <mergeCell ref="A47:C47"/>
    <mergeCell ref="D47:Z47"/>
    <mergeCell ref="AA47:AH47"/>
    <mergeCell ref="AI47:AP47"/>
    <mergeCell ref="A44:C44"/>
    <mergeCell ref="D44:Z44"/>
    <mergeCell ref="AA44:AH44"/>
    <mergeCell ref="AI44:AP44"/>
    <mergeCell ref="A45:C45"/>
    <mergeCell ref="D45:Z45"/>
    <mergeCell ref="AA45:AH45"/>
    <mergeCell ref="AI45:AP45"/>
    <mergeCell ref="A42:C42"/>
    <mergeCell ref="D42:Z42"/>
    <mergeCell ref="AA42:AH42"/>
    <mergeCell ref="AI42:AP42"/>
    <mergeCell ref="A43:C43"/>
    <mergeCell ref="D43:Z43"/>
    <mergeCell ref="AA43:AH43"/>
    <mergeCell ref="AI43:AP43"/>
    <mergeCell ref="A40:C40"/>
    <mergeCell ref="D40:Z40"/>
    <mergeCell ref="AA40:AH40"/>
    <mergeCell ref="AI40:AP40"/>
    <mergeCell ref="A41:C41"/>
    <mergeCell ref="D41:Z41"/>
    <mergeCell ref="AA41:AH41"/>
    <mergeCell ref="AI41:AP41"/>
    <mergeCell ref="A38:C38"/>
    <mergeCell ref="D38:Z38"/>
    <mergeCell ref="AA38:AH38"/>
    <mergeCell ref="AI38:AP38"/>
    <mergeCell ref="A39:C39"/>
    <mergeCell ref="D39:Z39"/>
    <mergeCell ref="AA39:AH39"/>
    <mergeCell ref="AI39:AP39"/>
    <mergeCell ref="A36:C36"/>
    <mergeCell ref="D36:Z36"/>
    <mergeCell ref="AA36:AH36"/>
    <mergeCell ref="AI36:AP36"/>
    <mergeCell ref="A37:C37"/>
    <mergeCell ref="D37:Z37"/>
    <mergeCell ref="AA37:AH37"/>
    <mergeCell ref="AI37:AP37"/>
    <mergeCell ref="A32:C32"/>
    <mergeCell ref="D32:Z32"/>
    <mergeCell ref="AA32:AH32"/>
    <mergeCell ref="AI32:AP32"/>
    <mergeCell ref="A34:AP34"/>
    <mergeCell ref="A35:C35"/>
    <mergeCell ref="D35:Z35"/>
    <mergeCell ref="AA35:AH35"/>
    <mergeCell ref="AI35:AP35"/>
    <mergeCell ref="A29:C29"/>
    <mergeCell ref="D29:Z29"/>
    <mergeCell ref="AA29:AH29"/>
    <mergeCell ref="AI29:AP29"/>
    <mergeCell ref="A30:C30"/>
    <mergeCell ref="D30:Z30"/>
    <mergeCell ref="AA30:AH30"/>
    <mergeCell ref="AI30:AP30"/>
    <mergeCell ref="A27:C27"/>
    <mergeCell ref="D27:Z27"/>
    <mergeCell ref="AA27:AH27"/>
    <mergeCell ref="AI27:AP27"/>
    <mergeCell ref="A28:C28"/>
    <mergeCell ref="D28:Z28"/>
    <mergeCell ref="AA28:AH28"/>
    <mergeCell ref="AI28:AP28"/>
    <mergeCell ref="A25:C25"/>
    <mergeCell ref="D25:Z25"/>
    <mergeCell ref="AA25:AH25"/>
    <mergeCell ref="AI25:AP25"/>
    <mergeCell ref="A26:C26"/>
    <mergeCell ref="D26:Z26"/>
    <mergeCell ref="AA26:AH26"/>
    <mergeCell ref="AI26:AP26"/>
    <mergeCell ref="A23:C23"/>
    <mergeCell ref="D23:Z23"/>
    <mergeCell ref="AA23:AH23"/>
    <mergeCell ref="AI23:AP23"/>
    <mergeCell ref="A24:C24"/>
    <mergeCell ref="D24:Z24"/>
    <mergeCell ref="AA24:AH24"/>
    <mergeCell ref="AI24:AP24"/>
    <mergeCell ref="A21:C21"/>
    <mergeCell ref="D21:Z21"/>
    <mergeCell ref="AA21:AH21"/>
    <mergeCell ref="AI21:AP21"/>
    <mergeCell ref="A22:C22"/>
    <mergeCell ref="D22:Z22"/>
    <mergeCell ref="AA22:AH22"/>
    <mergeCell ref="AI22:AP22"/>
    <mergeCell ref="A19:C19"/>
    <mergeCell ref="D19:Z19"/>
    <mergeCell ref="AA19:AH19"/>
    <mergeCell ref="AI19:AP19"/>
    <mergeCell ref="A20:C20"/>
    <mergeCell ref="D20:Z20"/>
    <mergeCell ref="AA20:AH20"/>
    <mergeCell ref="AI20:AP20"/>
    <mergeCell ref="A17:C17"/>
    <mergeCell ref="D17:Z17"/>
    <mergeCell ref="AA17:AH17"/>
    <mergeCell ref="AI17:AP17"/>
    <mergeCell ref="A18:C18"/>
    <mergeCell ref="D18:Z18"/>
    <mergeCell ref="AA18:AH18"/>
    <mergeCell ref="AI18:AP18"/>
    <mergeCell ref="A15:C15"/>
    <mergeCell ref="D15:Z15"/>
    <mergeCell ref="AA15:AH15"/>
    <mergeCell ref="AI15:AP15"/>
    <mergeCell ref="A16:C16"/>
    <mergeCell ref="D16:Z16"/>
    <mergeCell ref="AA16:AH16"/>
    <mergeCell ref="AI16:AP16"/>
    <mergeCell ref="A13:C13"/>
    <mergeCell ref="D13:Z13"/>
    <mergeCell ref="AA13:AH13"/>
    <mergeCell ref="AI13:AP13"/>
    <mergeCell ref="A14:C14"/>
    <mergeCell ref="D14:Z14"/>
    <mergeCell ref="AA14:AH14"/>
    <mergeCell ref="AI14:AP14"/>
    <mergeCell ref="A11:C11"/>
    <mergeCell ref="D11:Z11"/>
    <mergeCell ref="AA11:AH11"/>
    <mergeCell ref="AI11:AP11"/>
    <mergeCell ref="A12:C12"/>
    <mergeCell ref="D12:Z12"/>
    <mergeCell ref="AA12:AH12"/>
    <mergeCell ref="AI12:AP12"/>
    <mergeCell ref="A9:C9"/>
    <mergeCell ref="D9:Z9"/>
    <mergeCell ref="AA9:AH9"/>
    <mergeCell ref="AI9:AP9"/>
    <mergeCell ref="A10:C10"/>
    <mergeCell ref="D10:Z10"/>
    <mergeCell ref="AA10:AH10"/>
    <mergeCell ref="AI10:AP10"/>
    <mergeCell ref="AG3:AP3"/>
    <mergeCell ref="A5:O5"/>
    <mergeCell ref="A7:AP7"/>
    <mergeCell ref="A8:C8"/>
    <mergeCell ref="D8:Z8"/>
    <mergeCell ref="AA8:AH8"/>
    <mergeCell ref="AI8:AP8"/>
  </mergeCells>
  <printOptions horizontalCentered="1"/>
  <pageMargins left="0.19685039370078741" right="0.19685039370078741" top="0.19685039370078741" bottom="0.19685039370078741" header="0" footer="0"/>
  <pageSetup paperSize="9" scale="92" fitToHeight="0" orientation="portrait" horizontalDpi="200" verticalDpi="200" r:id="rId1"/>
  <headerFooter>
    <oddFooter>&amp;R&amp;P</oddFooter>
  </headerFooter>
  <rowBreaks count="5" manualBreakCount="5">
    <brk id="30" max="41" man="1"/>
    <brk id="54" max="41" man="1"/>
    <brk id="83" max="41" man="1"/>
    <brk id="107" max="41" man="1"/>
    <brk id="143" max="41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ТУ-28 (ТО-3, ТР-1)</vt:lpstr>
      <vt:lpstr>'ТУ-28 (ТО-3, ТР-1)'!Область_печати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Шварчков</dc:creator>
  <cp:lastModifiedBy>Сергей Шварчков</cp:lastModifiedBy>
  <dcterms:created xsi:type="dcterms:W3CDTF">2026-05-16T18:45:13Z</dcterms:created>
  <dcterms:modified xsi:type="dcterms:W3CDTF">2026-05-17T08:02:21Z</dcterms:modified>
</cp:coreProperties>
</file>
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G:\Мой диск\Codex\rtps\web_grafik_ppr\"/>
    </mc:Choice>
  </mc:AlternateContent>
  <xr:revisionPtr revIDLastSave="0" documentId="13_ncr:1_{B384D0BF-4211-4C7B-876B-B92FB6A4627D}" xr6:coauthVersionLast="47" xr6:coauthVersionMax="47" xr10:uidLastSave="{00000000-0000-0000-0000-000000000000}"/>
  <bookViews>
    <workbookView xWindow="-103" yWindow="-103" windowWidth="24892" windowHeight="15943" xr2:uid="{0E039AA0-8104-458E-999B-451E2B0CAC96}"/>
  </bookViews>
  <sheets>
    <sheet name="ТУ-28 (ТО-3, ТР-1)" sheetId="1" r:id="rId1"/>
  </sheets>
  <definedNames>
    <definedName name="_xlnm.Print_Area" localSheetId="0">'ТУ-28 (ТО-3, ТР-1)'!$A$1:$AP$168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168" i="1" l="1"/>
  <c r="AQ167" i="1"/>
  <c r="AQ166" i="1"/>
  <c r="AQ165" i="1"/>
  <c r="AQ164" i="1"/>
  <c r="AQ163" i="1"/>
  <c r="AQ156" i="1"/>
  <c r="AQ154" i="1"/>
  <c r="AQ149" i="1"/>
  <c r="AQ147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X94" i="1"/>
  <c r="AQ93" i="1"/>
  <c r="X93" i="1"/>
  <c r="AQ92" i="1"/>
  <c r="X92" i="1"/>
  <c r="AQ91" i="1"/>
  <c r="X91" i="1"/>
  <c r="AQ90" i="1"/>
  <c r="X90" i="1"/>
  <c r="AQ89" i="1"/>
  <c r="X89" i="1"/>
  <c r="AQ88" i="1"/>
  <c r="X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0" i="1"/>
</calcChain>
</file>

<file path=xl/sharedStrings.xml><?xml version="1.0" encoding="utf-8"?>
<sst xmlns="http://schemas.openxmlformats.org/spreadsheetml/2006/main" count="864" uniqueCount="212">
  <si>
    <r>
      <t xml:space="preserve">Утверждено распоряжением № </t>
    </r>
    <r>
      <rPr>
        <u/>
        <sz val="12"/>
        <color theme="1"/>
        <rFont val="Tahoma"/>
        <family val="2"/>
        <charset val="204"/>
      </rPr>
      <t>145</t>
    </r>
  </si>
  <si>
    <t>Приложение к ТУ-28</t>
  </si>
  <si>
    <t>от 27.10.2015 г.</t>
  </si>
  <si>
    <t>Аккумуляторная батарея</t>
  </si>
  <si>
    <t>Столбец1</t>
  </si>
  <si>
    <t>Локомотивное депо ТЦ</t>
  </si>
  <si>
    <t>ТО-3</t>
  </si>
  <si>
    <t>ТР-1</t>
  </si>
  <si>
    <t>ДОПОЛНИТЕЛЬНЫЙ РЕМОНТ</t>
  </si>
  <si>
    <t>№ п/п</t>
  </si>
  <si>
    <t>Запись требующегося ремонта</t>
  </si>
  <si>
    <t>Фамилия исполнителя</t>
  </si>
  <si>
    <t>Подпись исполнителя</t>
  </si>
  <si>
    <t>Электрические машины</t>
  </si>
  <si>
    <t>ПЕРЕЧЕНЬ ТРЕБУЮЩЕГОСЯ РЕМОНТА</t>
  </si>
  <si>
    <t>1. ДИЗЕЛЬ И ВСПОМОГАТЕЛЬНОЕ ОБОРУДОВАНИЕ</t>
  </si>
  <si>
    <t>Перед ремонтом, при работающем дизеле, осмотреть и проверить:</t>
  </si>
  <si>
    <t>1.1.</t>
  </si>
  <si>
    <t>Отсутствие постороннего шума и стука в механизмах агрегатах дизеля, ТК.</t>
  </si>
  <si>
    <t>1.2.</t>
  </si>
  <si>
    <t>Отсутствие утечки масла, воды в соединениях трубопроводов, секциях холодильника и теплообменнике</t>
  </si>
  <si>
    <t>1.3.</t>
  </si>
  <si>
    <t>При работающем дизеле проверить состояние всех КИП</t>
  </si>
  <si>
    <t>1.4.</t>
  </si>
  <si>
    <t>Проверить работу регулятора частоты вращения коленчатого вала дизеля и частоту вращения коленчатого вала дизеля</t>
  </si>
  <si>
    <t>1.5.</t>
  </si>
  <si>
    <r>
      <t>Проверить</t>
    </r>
    <r>
      <rPr>
        <sz val="10"/>
        <color rgb="FF000000"/>
        <rFont val="Tahoma"/>
        <family val="2"/>
        <charset val="204"/>
      </rPr>
      <t xml:space="preserve"> величину давления топлива, масла и воздуха</t>
    </r>
  </si>
  <si>
    <t>1.6.</t>
  </si>
  <si>
    <t>Проверить работу  редуктора  вентилятора  холодильника  при  включенной фрикционной муфте, автоматику системы охлаждения, привода жалюзи</t>
  </si>
  <si>
    <t>1.7.</t>
  </si>
  <si>
    <t>Проверить работу регулятора напряжения и величину зарядного тока по амперметру</t>
  </si>
  <si>
    <t>Произвести обдувку электрических машин, аппаратов и наружнюю поверхность секций холодильника сжатым воздухом</t>
  </si>
  <si>
    <t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t>
  </si>
  <si>
    <t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t>
  </si>
  <si>
    <t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t>
  </si>
  <si>
    <t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t>
  </si>
  <si>
    <t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t>
  </si>
  <si>
    <t>Проверить и при необходимости отрегулировать натяжение приводных ремней</t>
  </si>
  <si>
    <t>Фильтры топлива, масла и воздуха снять, разобрать  и очистить. Фильтры типа ФЕТО заменить на текущем ремонте ТР.</t>
  </si>
  <si>
    <t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t>
  </si>
  <si>
    <t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t>
  </si>
  <si>
    <t>У водяных насосов открытого типа добавить  сальниковую набивку.</t>
  </si>
  <si>
    <t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t>
  </si>
  <si>
    <t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t>
  </si>
  <si>
    <t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t>
  </si>
  <si>
    <t>Зазоры на масло коленчатого вала дизеля (замеряется на ТР-1)</t>
  </si>
  <si>
    <t>коренной</t>
  </si>
  <si>
    <t>провисание</t>
  </si>
  <si>
    <t>шатунный</t>
  </si>
  <si>
    <t>Зазор между блоком и цилиндровыми крышками (замеряется на ТР1)</t>
  </si>
  <si>
    <t>02,5-1,25</t>
  </si>
  <si>
    <t>Слева</t>
  </si>
  <si>
    <t>Справа</t>
  </si>
  <si>
    <r>
      <t xml:space="preserve">Осевой разбег ТК </t>
    </r>
    <r>
      <rPr>
        <sz val="9"/>
        <color theme="1"/>
        <rFont val="Tahoma"/>
        <family val="2"/>
        <charset val="204"/>
      </rPr>
      <t>(0,25-0,36)</t>
    </r>
  </si>
  <si>
    <t>Выбег ТК (не менее 65 секунд)</t>
  </si>
  <si>
    <t>Зазоры на масло газовых
подшипников ТК (не более 0,3)</t>
  </si>
  <si>
    <t>Зазоры на масло воздушных
подшипников ТК (не более 0,3)</t>
  </si>
  <si>
    <t>Роспись мастера:</t>
  </si>
  <si>
    <t>2. ТОПЛИВНАЯ АППАРАТУРА</t>
  </si>
  <si>
    <t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t>
  </si>
  <si>
    <t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t>
  </si>
  <si>
    <t>Проверить работу основного топливоподкачивающего насоса.</t>
  </si>
  <si>
    <t>Снять и проверить через одно техническое обслуживание ТО-3  работу форсунок на стенде.</t>
  </si>
  <si>
    <t>Проверить работу фильтров грубой очистки топлива, сменить ФТО на ТР-1.</t>
  </si>
  <si>
    <t>После ремонта запустить дизель и проверить работу узлов и агрегатов, отсутствие течи топлива по трубкам форсунок и ТНВД.</t>
  </si>
  <si>
    <t>3. ЭЛЕКТРООБОРУДОВАНИЕ</t>
  </si>
  <si>
    <t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t>
  </si>
  <si>
    <t>Осмотреть состояние коллекторов. Произвести осмотр и ремонт эл. аппаратуры.</t>
  </si>
  <si>
    <t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t>
  </si>
  <si>
    <t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t>
  </si>
  <si>
    <t>Произвести проверку работы аварийной сигнализации работы дизеля и пожарной сигнализации.</t>
  </si>
  <si>
    <t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t>
  </si>
  <si>
    <t>Электроаппаратура и электрические цепи.</t>
  </si>
  <si>
    <t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t>
  </si>
  <si>
    <t>Произвести смазку скользящих контактов контроллера машиниста.</t>
  </si>
  <si>
    <t>После запуска дизеля проверить работу регулятора напряжения.</t>
  </si>
  <si>
    <t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t>
  </si>
  <si>
    <t>4. ЭКИПАЖ</t>
  </si>
  <si>
    <t>Осмотреть и проверить состояние КП, рам тележек.</t>
  </si>
  <si>
    <t>Проверить состояние рессорного подвешивания тележек.</t>
  </si>
  <si>
    <t>Произвести наружный осмотр букс, проверить крепление крышек.</t>
  </si>
  <si>
    <t>Проверить крепление МОП, крышки подшипников осмотреть. Проверить крепление кожухов зубчатых передач, устранить течь смазки.</t>
  </si>
  <si>
    <t>Осмотреть путеочистители, оторванные кронштейны и угольники приварить, ослабшие болты закрепить.</t>
  </si>
  <si>
    <t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t>
  </si>
  <si>
    <t>Осмотреть состояние автосцепок и фрикционных аппаратов и проверить высоту автосцепок.</t>
  </si>
  <si>
    <t>Проверить крепление кожухов зубчатых передач и уровень смазки в них. При необходимости добавить смазку.</t>
  </si>
  <si>
    <t>5. ТОРМОЗНОЕ ОБОРУДОВАНИЕ</t>
  </si>
  <si>
    <t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t>
  </si>
  <si>
    <t>Произвести контрольный осмотр компрессора и проверить его крепление. Состояние муфтового соединения, очистить фильтры.</t>
  </si>
  <si>
    <t>Автотормозное и пневмооборудование осмотреть согласно технологии.</t>
  </si>
  <si>
    <t>Проверить состояние песочных бункеров, песочных труб. Отрегулировать подачу песка и установку насадок из шланга.</t>
  </si>
  <si>
    <t>После запуска дизеля проверить: работу компрессора, плотность тормозной и воздушной сети, правильность регулировки КМ.</t>
  </si>
  <si>
    <t>Испытание автотормозов согласно инструкции  2837р.</t>
  </si>
  <si>
    <t>Испытание автотормозов согласно инструкции  ЦТ533.</t>
  </si>
  <si>
    <t>7. КИП</t>
  </si>
  <si>
    <t>Проверить надежность крепления и состояние скоростемера или комплекса КПД-3П</t>
  </si>
  <si>
    <t>Провести ревизию привода скоростемера или осмотреть датчик Л178 комплекса КПД-3П</t>
  </si>
  <si>
    <t>После запуска дизеля проверить работу КИП.</t>
  </si>
  <si>
    <t>Проверить состояние антенн и крепления блоков радиостанции.</t>
  </si>
  <si>
    <t>8. АЛСН</t>
  </si>
  <si>
    <t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t>
  </si>
  <si>
    <t>Произвести ревизию эл. монтажа АЛСН.</t>
  </si>
  <si>
    <t>Измерить высоту приемных катушек, мм.
Передние__________        Задние___________</t>
  </si>
  <si>
    <t>9. АЛСН КРП</t>
  </si>
  <si>
    <t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t>
  </si>
  <si>
    <t>11. КОЛЕСНЫЕ ПАРЫ</t>
  </si>
  <si>
    <t>ПРОКАТ
(не более 7 мм)</t>
  </si>
  <si>
    <t>ТОЛЩИНА ГРЕБНЯ
(25-33 мм)</t>
  </si>
  <si>
    <t>КРУТИЗНА ГРЕБНЯ
(не менее 6 мм)</t>
  </si>
  <si>
    <t>ТОЛЩИНА БАНДАЖА
(не менее 36 мм)</t>
  </si>
  <si>
    <t>ДИАМЕТР КОЛЕСА
(не менее 972 мм)</t>
  </si>
  <si>
    <t>лев</t>
  </si>
  <si>
    <t>прав</t>
  </si>
  <si>
    <t>12. ЗАЗОРЫ МОП (замеряется на ТР-1)</t>
  </si>
  <si>
    <t>Не более 3 мм</t>
  </si>
  <si>
    <t>13. РАЗБЕГ КП (замеряется на ТР-1)</t>
  </si>
  <si>
    <t>1,3,4,6 к.п. - (4-6 мм)
2,5 к.п. - (28-32 мм)</t>
  </si>
  <si>
    <t>общий</t>
  </si>
  <si>
    <t>Замечания:</t>
  </si>
  <si>
    <t>14. КОНТРОЛЬНЫЕ ЗАМЕРЫ</t>
  </si>
  <si>
    <t>Замеры</t>
  </si>
  <si>
    <t>Передний</t>
  </si>
  <si>
    <t>Задний</t>
  </si>
  <si>
    <t>Высота СА-3 (норма 980-1080 мм)</t>
  </si>
  <si>
    <t>Провисание (не более 10 мм) отклонение вверх не более 3 мм.</t>
  </si>
  <si>
    <t>Высота путеочистителей (100-170 мм).</t>
  </si>
  <si>
    <t>СНИМАЕМОЕ ОБОРУДОВАНИЕ</t>
  </si>
  <si>
    <t>№ снятого</t>
  </si>
  <si>
    <t>№ установленного</t>
  </si>
  <si>
    <t>ТО3 (ТР-1) выполнено в полном объеме, локомотив после ремонта осмотрен и готов к эксплуатации, эксплуатацию локомотива разрешаю.</t>
  </si>
  <si>
    <t>Ремонт выполнен: Начальник участка РТПС __________________</t>
  </si>
  <si>
    <t>Тепловоз с ремонта принял: Машинист-инструктор  _________________</t>
  </si>
  <si>
    <t>ТЕХНИЧЕСКОЕ ОБСЛУЖИВАНИЕ [ВИД]</t>
  </si>
  <si>
    <t>[ДАТА]</t>
  </si>
  <si>
    <t>Тепловоза [СЕРИЯ] № [НОМЕР]</t>
  </si>
  <si>
    <t>[ДИЗЕЛЬ]</t>
  </si>
  <si>
    <t>[АКБ]</t>
  </si>
  <si>
    <t>[ЭЛАП]</t>
  </si>
  <si>
    <t>[ТОРМОЗ]</t>
  </si>
  <si>
    <t>[ЭКИПАЖ 1]</t>
  </si>
  <si>
    <t>[ЭКИПАЖ 2]</t>
  </si>
  <si>
    <t>[ЭЛМАШ]</t>
  </si>
  <si>
    <t>[ДОП_РЕМОНТ_1]</t>
  </si>
  <si>
    <t>[ПР_Л_1]</t>
  </si>
  <si>
    <t>[ПР_П_1]</t>
  </si>
  <si>
    <t>[ТГ_Л_1]</t>
  </si>
  <si>
    <t>[ТГ_П_1]</t>
  </si>
  <si>
    <t>[КР_Л_1]</t>
  </si>
  <si>
    <t>[КР_П_1]</t>
  </si>
  <si>
    <t>[ТБ_Л_1]</t>
  </si>
  <si>
    <t>[ТБ_П_1]</t>
  </si>
  <si>
    <t>[ДБ_Л_1]</t>
  </si>
  <si>
    <t>[ДБ_П_1]</t>
  </si>
  <si>
    <t>[ПР_Л_2]</t>
  </si>
  <si>
    <t>[ПР_Л_3]</t>
  </si>
  <si>
    <t>[ПР_Л_4]</t>
  </si>
  <si>
    <t>[ПР_Л_5]</t>
  </si>
  <si>
    <t>[ПР_Л_6]</t>
  </si>
  <si>
    <t>[ПР_П_2]</t>
  </si>
  <si>
    <t>[ПР_П_3]</t>
  </si>
  <si>
    <t>[ПР_П_4]</t>
  </si>
  <si>
    <t>[ПР_П_5]</t>
  </si>
  <si>
    <t>[ПР_П_6]</t>
  </si>
  <si>
    <t>[ТГ_Л_2]</t>
  </si>
  <si>
    <t>[ТГ_Л_3]</t>
  </si>
  <si>
    <t>[ТГ_Л_4]</t>
  </si>
  <si>
    <t>[ТГ_Л_5]</t>
  </si>
  <si>
    <t>[ТГ_Л_6]</t>
  </si>
  <si>
    <t>[ТГ_П_2]</t>
  </si>
  <si>
    <t>[КР_Л_2]</t>
  </si>
  <si>
    <t>[КР_П_2]</t>
  </si>
  <si>
    <t>[ТБ_Л_2]</t>
  </si>
  <si>
    <t>[ТБ_П_2]</t>
  </si>
  <si>
    <t>[ДБ_Л_2]</t>
  </si>
  <si>
    <t>[ДБ_П_2]</t>
  </si>
  <si>
    <t>[ТГ_П_3]</t>
  </si>
  <si>
    <t>[КР_Л_3]</t>
  </si>
  <si>
    <t>[КР_П_3]</t>
  </si>
  <si>
    <t>[ТБ_Л_3]</t>
  </si>
  <si>
    <t>[ТБ_П_3]</t>
  </si>
  <si>
    <t>[ДБ_Л_3]</t>
  </si>
  <si>
    <t>[ДБ_П_3]</t>
  </si>
  <si>
    <t>[ТГ_П_4]</t>
  </si>
  <si>
    <t>[КР_Л_4]</t>
  </si>
  <si>
    <t>[КР_П_4]</t>
  </si>
  <si>
    <t>[ТБ_Л_4]</t>
  </si>
  <si>
    <t>[ТБ_П_4]</t>
  </si>
  <si>
    <t>[ДБ_Л_4]</t>
  </si>
  <si>
    <t>[ДБ_П_4]</t>
  </si>
  <si>
    <t>[ТГ_П_5]</t>
  </si>
  <si>
    <t>[КР_Л_5]</t>
  </si>
  <si>
    <t>[КР_П_5]</t>
  </si>
  <si>
    <t>[ТБ_Л_5]</t>
  </si>
  <si>
    <t>[ТБ_П_5]</t>
  </si>
  <si>
    <t>[ДБ_Л_5]</t>
  </si>
  <si>
    <t>[ДБ_П_5]</t>
  </si>
  <si>
    <t>[ТГ_П_6]</t>
  </si>
  <si>
    <t>[КР_Л_6]</t>
  </si>
  <si>
    <t>[КР_П_6]</t>
  </si>
  <si>
    <t>[ТБ_Л_6]</t>
  </si>
  <si>
    <t>[ТБ_П_6]</t>
  </si>
  <si>
    <t>[ДБ_Л_6]</t>
  </si>
  <si>
    <t>[ДБ_П_6]</t>
  </si>
  <si>
    <t>[ДОП_РЕМОНТ_2]</t>
  </si>
  <si>
    <t>[ДОП_РЕМОНТ_3]</t>
  </si>
  <si>
    <t>[ДОП_РЕМОНТ_4]</t>
  </si>
  <si>
    <t>[ДОП_РЕМОНТ_5]</t>
  </si>
  <si>
    <t>[ДОП_РЕМОНТ_6]</t>
  </si>
  <si>
    <t>[ДОП_РЕМОНТ_7]</t>
  </si>
  <si>
    <t>[ДОП_РЕМОНТ_8]</t>
  </si>
  <si>
    <t>[ДОП_РЕМОНТ_9]</t>
  </si>
  <si>
    <t>[ДОП_РЕМОНТ_10]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</si>
</sst>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204"/>
    </font>
    <font>
      <u/>
      <sz val="12"/>
      <color theme="1"/>
      <name val="Tahoma"/>
      <family val="2"/>
      <charset val="204"/>
    </font>
    <font>
      <sz val="11"/>
      <color theme="1"/>
      <name val="Tahoma"/>
      <family val="2"/>
      <charset val="204"/>
    </font>
    <font>
      <sz val="12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000000"/>
      <name val="Tahoma"/>
      <family val="2"/>
      <charset val="204"/>
    </font>
    <font>
      <sz val="9"/>
      <color theme="1"/>
      <name val="Tahoma"/>
      <family val="2"/>
      <charset val="204"/>
    </font>
    <font>
      <b/>
      <sz val="11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1" fillId="0" borderId="0" xfId="1"/>
    <xf numFmtId="0" fontId="1" fillId="0" borderId="0" xfId="1" applyAlignment="1">
      <alignment horizontal="left" vertical="center"/>
    </xf>
    <xf numFmtId="0" fontId="1" fillId="0" borderId="0" xfId="1" applyAlignment="1">
      <alignment horizontal="right" vertical="center"/>
    </xf>
    <xf numFmtId="164" fontId="1" fillId="0" borderId="0" xfId="1" applyNumberFormat="1"/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justify" vertical="center" wrapText="1"/>
    </xf>
    <xf numFmtId="0" fontId="3" fillId="0" borderId="0" xfId="1" applyFont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5" fillId="0" borderId="0" xfId="1" applyFont="1"/>
    <xf numFmtId="0" fontId="3" fillId="0" borderId="0" xfId="1" applyFont="1"/>
    <xf numFmtId="0" fontId="5" fillId="0" borderId="0" xfId="1" applyFont="1" applyAlignment="1">
      <alignment horizontal="centerContinuous" vertical="center"/>
    </xf>
    <xf numFmtId="0" fontId="1" fillId="0" borderId="0" xfId="1" applyAlignment="1">
      <alignment horizontal="centerContinuous"/>
    </xf>
    <xf numFmtId="0" fontId="6" fillId="0" borderId="0" xfId="1" applyFont="1" applyAlignment="1">
      <alignment horizontal="centerContinuous" vertical="center" wrapText="1"/>
    </xf>
    <xf numFmtId="0" fontId="9" fillId="0" borderId="0" xfId="1" applyFont="1" applyAlignment="1">
      <alignment vertical="center"/>
    </xf>
    <xf numFmtId="0" fontId="9" fillId="0" borderId="0" xfId="1" applyFont="1"/>
    <xf numFmtId="0" fontId="6" fillId="0" borderId="1" xfId="1" applyFont="1" applyBorder="1" applyAlignment="1">
      <alignment horizontal="center" vertical="center" wrapText="1"/>
    </xf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justify" vertical="center" wrapText="1"/>
    </xf>
    <xf numFmtId="0" fontId="6" fillId="0" borderId="7" xfId="1" applyFont="1" applyBorder="1" applyAlignment="1">
      <alignment horizontal="justify" vertical="center" wrapText="1"/>
    </xf>
    <xf numFmtId="0" fontId="6" fillId="0" borderId="8" xfId="1" applyFont="1" applyBorder="1" applyAlignment="1">
      <alignment horizontal="justify" vertical="center" wrapText="1"/>
    </xf>
    <xf numFmtId="16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justify" vertical="center" wrapText="1"/>
    </xf>
    <xf numFmtId="0" fontId="1" fillId="0" borderId="1" xfId="1" applyBorder="1" applyAlignment="1">
      <alignment horizontal="center"/>
    </xf>
    <xf numFmtId="0" fontId="5" fillId="0" borderId="0" xfId="1" applyFont="1" applyAlignment="1">
      <alignment horizontal="center" vertical="center"/>
    </xf>
    <xf numFmtId="0" fontId="6" fillId="0" borderId="6" xfId="1" applyFont="1" applyBorder="1" applyAlignment="1">
      <alignment horizontal="right" vertical="center" wrapText="1"/>
    </xf>
    <xf numFmtId="0" fontId="6" fillId="0" borderId="7" xfId="1" applyFont="1" applyBorder="1" applyAlignment="1">
      <alignment horizontal="right" vertical="center" wrapText="1"/>
    </xf>
    <xf numFmtId="0" fontId="6" fillId="0" borderId="8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right" vertical="center" wrapText="1"/>
    </xf>
    <xf numFmtId="0" fontId="6" fillId="0" borderId="2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left" wrapText="1"/>
    </xf>
    <xf numFmtId="0" fontId="6" fillId="0" borderId="3" xfId="1" applyFont="1" applyBorder="1" applyAlignment="1">
      <alignment horizontal="left" wrapText="1"/>
    </xf>
    <xf numFmtId="0" fontId="6" fillId="0" borderId="2" xfId="1" applyFont="1" applyBorder="1" applyAlignment="1">
      <alignment horizontal="left" vertical="center" wrapText="1"/>
    </xf>
    <xf numFmtId="0" fontId="6" fillId="0" borderId="2" xfId="1" applyFont="1" applyBorder="1" applyAlignment="1">
      <alignment horizontal="justify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1" fillId="0" borderId="1" xfId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 wrapText="1"/>
    </xf>
    <xf numFmtId="0" fontId="6" fillId="0" borderId="10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6" fillId="0" borderId="12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left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left" vertical="center"/>
    </xf>
    <xf numFmtId="0" fontId="6" fillId="0" borderId="0" xfId="1" applyFont="1" applyAlignment="1">
      <alignment horizontal="justify" wrapText="1"/>
    </xf>
  </cellXfs>
  <cellStyles count="2">
    <cellStyle name="Обычный" xfId="0" builtinId="0"/>
    <cellStyle name="Обычный 5" xfId="1" xr:uid="{0E3F9651-4388-4BA7-A1D7-DE6611BCD5BC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61384E-0AE8-4C94-B8B3-C10A12F1D7B7}" name="Таблица2" displayName="Таблица2" ref="AZ2:AZ4" totalsRowShown="0" headerRowDxfId="2" dataDxfId="1">
  <autoFilter ref="AZ2:AZ4" xr:uid="{00000000-0009-0000-0100-000002000000}"/>
  <tableColumns count="1">
    <tableColumn id="1" xr3:uid="{9E824017-72A9-4B21-A0D6-AB2A501642A7}" name="Столбец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E7A56-0D2A-4502-86D2-6967564725ED}">
  <sheetPr codeName="Лист12">
    <pageSetUpPr fitToPage="1"/>
  </sheetPr>
  <dimension ref="A1:AZ168"/>
  <sheetViews>
    <sheetView showZeros="0" tabSelected="1" view="pageBreakPreview" zoomScaleNormal="100" zoomScaleSheetLayoutView="100" workbookViewId="0">
      <selection activeCell="AA11" sqref="AA11:AH11"/>
    </sheetView>
  </sheetViews>
  <sheetFormatPr defaultColWidth="11.3046875" defaultRowHeight="15" x14ac:dyDescent="0.35"/>
  <cols>
    <col min="1" max="42" width="2.53515625" style="1" customWidth="1"/>
    <col min="43" max="43" width="58.53515625" style="1" hidden="1" customWidth="1"/>
    <col min="44" max="44" width="11.84375" style="1" customWidth="1"/>
    <col min="45" max="45" width="22.69140625" style="1" customWidth="1"/>
    <col min="46" max="49" width="23.15234375" style="1" customWidth="1"/>
    <col min="50" max="50" width="20.3828125" style="1" customWidth="1"/>
    <col min="51" max="51" width="11.3046875" style="1"/>
    <col min="52" max="52" width="13.3046875" style="1" customWidth="1"/>
    <col min="53" max="16384" width="11.3046875" style="1"/>
  </cols>
  <sheetData>
    <row r="1" spans="1:52" x14ac:dyDescent="0.35">
      <c r="A1" s="2" t="s">
        <v>0</v>
      </c>
      <c r="AN1" s="3"/>
      <c r="AP1" s="3" t="s">
        <v>1</v>
      </c>
      <c r="AQ1" s="3"/>
      <c r="AR1" s="3"/>
    </row>
    <row r="2" spans="1:52" x14ac:dyDescent="0.35">
      <c r="A2" s="2" t="s">
        <v>2</v>
      </c>
      <c r="AS2" s="6"/>
      <c r="AT2" s="6"/>
      <c r="AZ2" s="1" t="s">
        <v>4</v>
      </c>
    </row>
    <row r="3" spans="1:52" x14ac:dyDescent="0.35">
      <c r="A3" s="2" t="s">
        <v>5</v>
      </c>
      <c r="AF3" s="4"/>
      <c r="AG3" s="20" t="s">
        <v>133</v>
      </c>
      <c r="AH3" s="20"/>
      <c r="AI3" s="20"/>
      <c r="AJ3" s="20"/>
      <c r="AK3" s="20"/>
      <c r="AL3" s="20"/>
      <c r="AM3" s="20"/>
      <c r="AN3" s="20"/>
      <c r="AO3" s="20"/>
      <c r="AP3" s="20"/>
      <c r="AQ3" s="5"/>
      <c r="AR3" s="5"/>
      <c r="AS3" s="6"/>
      <c r="AT3" s="6"/>
      <c r="AZ3" s="1" t="s">
        <v>6</v>
      </c>
    </row>
    <row r="4" spans="1:52" x14ac:dyDescent="0.35">
      <c r="A4" s="2" t="s">
        <v>132</v>
      </c>
      <c r="AS4" s="6"/>
      <c r="AT4" s="6"/>
      <c r="AZ4" s="1" t="s">
        <v>7</v>
      </c>
    </row>
    <row r="5" spans="1:52" x14ac:dyDescent="0.35">
      <c r="A5" s="21" t="s">
        <v>134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AS5" s="6"/>
      <c r="AT5" s="6"/>
    </row>
    <row r="6" spans="1:52" x14ac:dyDescent="0.3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AS6" s="6"/>
      <c r="AT6" s="6"/>
    </row>
    <row r="7" spans="1:52" ht="15" customHeight="1" x14ac:dyDescent="0.35">
      <c r="A7" s="22" t="s">
        <v>8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S7" s="6"/>
      <c r="AT7" s="6"/>
    </row>
    <row r="8" spans="1:52" x14ac:dyDescent="0.35">
      <c r="A8" s="19" t="s">
        <v>9</v>
      </c>
      <c r="B8" s="19"/>
      <c r="C8" s="19"/>
      <c r="D8" s="23" t="s">
        <v>10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19" t="s">
        <v>11</v>
      </c>
      <c r="AB8" s="19"/>
      <c r="AC8" s="19"/>
      <c r="AD8" s="19"/>
      <c r="AE8" s="19"/>
      <c r="AF8" s="19"/>
      <c r="AG8" s="19"/>
      <c r="AH8" s="19"/>
      <c r="AI8" s="19" t="s">
        <v>12</v>
      </c>
      <c r="AJ8" s="19"/>
      <c r="AK8" s="19"/>
      <c r="AL8" s="19"/>
      <c r="AM8" s="19"/>
      <c r="AN8" s="19"/>
      <c r="AO8" s="19"/>
      <c r="AP8" s="19"/>
      <c r="AQ8" s="7"/>
      <c r="AR8" s="7"/>
      <c r="AS8" s="6"/>
      <c r="AT8" s="6"/>
    </row>
    <row r="9" spans="1:52" ht="70" customHeight="1" x14ac:dyDescent="0.35">
      <c r="A9" s="19"/>
      <c r="B9" s="19"/>
      <c r="C9" s="19"/>
      <c r="D9" s="29" t="s">
        <v>142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7"/>
      <c r="AR9" s="7"/>
      <c r="AS9" s="6"/>
      <c r="AT9" s="6"/>
    </row>
    <row r="10" spans="1:52" ht="70" customHeight="1" x14ac:dyDescent="0.35">
      <c r="A10" s="19"/>
      <c r="B10" s="19"/>
      <c r="C10" s="19"/>
      <c r="D10" s="29" t="s">
        <v>203</v>
      </c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7"/>
      <c r="AR10" s="7"/>
      <c r="AS10" s="6"/>
      <c r="AT10" s="6"/>
    </row>
    <row r="11" spans="1:52" ht="70" customHeight="1" x14ac:dyDescent="0.35">
      <c r="A11" s="19"/>
      <c r="B11" s="19"/>
      <c r="C11" s="19"/>
      <c r="D11" s="29" t="s">
        <v>204</v>
      </c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7"/>
      <c r="AR11" s="7"/>
      <c r="AS11" s="6"/>
      <c r="AT11" s="6"/>
    </row>
    <row r="12" spans="1:52" ht="70" customHeight="1" x14ac:dyDescent="0.35">
      <c r="A12" s="19"/>
      <c r="B12" s="19"/>
      <c r="C12" s="19"/>
      <c r="D12" s="29" t="s">
        <v>205</v>
      </c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7"/>
      <c r="AR12" s="7"/>
      <c r="AS12" s="6"/>
      <c r="AT12" s="6"/>
    </row>
    <row r="13" spans="1:52" ht="70" customHeight="1" x14ac:dyDescent="0.35">
      <c r="A13" s="19"/>
      <c r="B13" s="19"/>
      <c r="C13" s="19"/>
      <c r="D13" s="29" t="s">
        <v>206</v>
      </c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7"/>
      <c r="AR13" s="7"/>
      <c r="AS13" s="6"/>
      <c r="AT13" s="6"/>
    </row>
    <row r="14" spans="1:52" ht="70" customHeight="1" x14ac:dyDescent="0.35">
      <c r="A14" s="19"/>
      <c r="B14" s="19"/>
      <c r="C14" s="19"/>
      <c r="D14" s="29" t="s">
        <v>207</v>
      </c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7"/>
      <c r="AR14" s="7"/>
      <c r="AS14" s="6"/>
      <c r="AT14" s="6"/>
    </row>
    <row r="15" spans="1:52" ht="70" customHeight="1" x14ac:dyDescent="0.35">
      <c r="A15" s="19"/>
      <c r="B15" s="19"/>
      <c r="C15" s="19"/>
      <c r="D15" s="29" t="s">
        <v>208</v>
      </c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7"/>
      <c r="AR15" s="7"/>
      <c r="AS15" s="6"/>
      <c r="AT15" s="6"/>
    </row>
    <row r="16" spans="1:52" ht="70" customHeight="1" x14ac:dyDescent="0.35">
      <c r="A16" s="19"/>
      <c r="B16" s="19"/>
      <c r="C16" s="19"/>
      <c r="D16" s="29" t="s">
        <v>209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7"/>
      <c r="AR16" s="7"/>
      <c r="AS16" s="6"/>
      <c r="AT16" s="6"/>
    </row>
    <row r="17" spans="1:46" ht="70" customHeight="1" x14ac:dyDescent="0.35">
      <c r="A17" s="19"/>
      <c r="B17" s="19"/>
      <c r="C17" s="19"/>
      <c r="D17" s="29" t="s">
        <v>210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7"/>
      <c r="AR17" s="7"/>
      <c r="AS17" s="6"/>
      <c r="AT17" s="6"/>
    </row>
    <row r="18" spans="1:46" ht="70" customHeight="1" x14ac:dyDescent="0.35">
      <c r="A18" s="19"/>
      <c r="B18" s="19"/>
      <c r="C18" s="19"/>
      <c r="D18" s="29" t="s">
        <v>211</v>
      </c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7"/>
      <c r="AR18" s="7"/>
      <c r="AS18" s="6"/>
      <c r="AT18" s="6"/>
    </row>
    <row r="19" spans="1:46" ht="10" customHeight="1" x14ac:dyDescent="0.35"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</row>
    <row r="20" spans="1:46" ht="28.5" customHeight="1" x14ac:dyDescent="0.35">
      <c r="A20" s="19" t="s">
        <v>9</v>
      </c>
      <c r="B20" s="19"/>
      <c r="C20" s="19"/>
      <c r="D20" s="19" t="s">
        <v>14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 t="s">
        <v>11</v>
      </c>
      <c r="AB20" s="19"/>
      <c r="AC20" s="19"/>
      <c r="AD20" s="19"/>
      <c r="AE20" s="19"/>
      <c r="AF20" s="19"/>
      <c r="AG20" s="19"/>
      <c r="AH20" s="19"/>
      <c r="AI20" s="19" t="s">
        <v>12</v>
      </c>
      <c r="AJ20" s="19"/>
      <c r="AK20" s="19"/>
      <c r="AL20" s="19"/>
      <c r="AM20" s="19"/>
      <c r="AN20" s="19"/>
      <c r="AO20" s="19"/>
      <c r="AP20" s="19"/>
      <c r="AQ20" s="9" t="str">
        <f t="shared" ref="AQ20:AQ22" si="0">D20</f>
        <v>ПЕРЕЧЕНЬ ТРЕБУЮЩЕГОСЯ РЕМОНТА</v>
      </c>
      <c r="AR20" s="9"/>
    </row>
    <row r="21" spans="1:46" ht="10" customHeight="1" x14ac:dyDescent="0.3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9"/>
      <c r="AR21" s="9"/>
    </row>
    <row r="22" spans="1:46" ht="15" customHeight="1" x14ac:dyDescent="0.35">
      <c r="A22" s="24" t="s">
        <v>15</v>
      </c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9">
        <f t="shared" si="0"/>
        <v>0</v>
      </c>
      <c r="AR22" s="9"/>
    </row>
    <row r="23" spans="1:46" ht="25.5" customHeight="1" x14ac:dyDescent="0.35">
      <c r="A23" s="19">
        <v>1</v>
      </c>
      <c r="B23" s="19"/>
      <c r="C23" s="19"/>
      <c r="D23" s="25" t="s">
        <v>16</v>
      </c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9" t="str">
        <f>D23</f>
        <v>Перед ремонтом, при работающем дизеле, осмотреть и проверить:</v>
      </c>
      <c r="AR23" s="9"/>
    </row>
    <row r="24" spans="1:46" ht="25.5" customHeight="1" x14ac:dyDescent="0.35">
      <c r="A24" s="28" t="s">
        <v>17</v>
      </c>
      <c r="B24" s="19"/>
      <c r="C24" s="19"/>
      <c r="D24" s="29" t="s">
        <v>18</v>
      </c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19" t="s">
        <v>135</v>
      </c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9" t="str">
        <f>D24</f>
        <v>Отсутствие постороннего шума и стука в механизмах агрегатах дизеля, ТК.</v>
      </c>
      <c r="AR24" s="9"/>
    </row>
    <row r="25" spans="1:46" ht="25.5" customHeight="1" x14ac:dyDescent="0.35">
      <c r="A25" s="19" t="s">
        <v>19</v>
      </c>
      <c r="B25" s="19"/>
      <c r="C25" s="19"/>
      <c r="D25" s="29" t="s">
        <v>20</v>
      </c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19" t="s">
        <v>135</v>
      </c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9" t="str">
        <f t="shared" ref="AQ25:AQ88" si="1">D25</f>
        <v>Отсутствие утечки масла, воды в соединениях трубопроводов, секциях холодильника и теплообменнике</v>
      </c>
      <c r="AR25" s="9"/>
    </row>
    <row r="26" spans="1:46" ht="25" customHeight="1" x14ac:dyDescent="0.35">
      <c r="A26" s="28" t="s">
        <v>21</v>
      </c>
      <c r="B26" s="19"/>
      <c r="C26" s="19"/>
      <c r="D26" s="29" t="s">
        <v>22</v>
      </c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19" t="s">
        <v>137</v>
      </c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9" t="str">
        <f t="shared" si="1"/>
        <v>При работающем дизеле проверить состояние всех КИП</v>
      </c>
      <c r="AR26" s="9"/>
    </row>
    <row r="27" spans="1:46" ht="25.5" customHeight="1" x14ac:dyDescent="0.35">
      <c r="A27" s="19" t="s">
        <v>23</v>
      </c>
      <c r="B27" s="19"/>
      <c r="C27" s="19"/>
      <c r="D27" s="29" t="s">
        <v>24</v>
      </c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19" t="s">
        <v>135</v>
      </c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9" t="str">
        <f t="shared" si="1"/>
        <v>Проверить работу регулятора частоты вращения коленчатого вала дизеля и частоту вращения коленчатого вала дизеля</v>
      </c>
      <c r="AR27" s="9"/>
    </row>
    <row r="28" spans="1:46" ht="25" customHeight="1" x14ac:dyDescent="0.35">
      <c r="A28" s="28" t="s">
        <v>25</v>
      </c>
      <c r="B28" s="19"/>
      <c r="C28" s="19"/>
      <c r="D28" s="29" t="s">
        <v>26</v>
      </c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19" t="s">
        <v>135</v>
      </c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9" t="str">
        <f t="shared" si="1"/>
        <v>Проверить величину давления топлива, масла и воздуха</v>
      </c>
      <c r="AR28" s="9"/>
    </row>
    <row r="29" spans="1:46" ht="38.25" customHeight="1" x14ac:dyDescent="0.35">
      <c r="A29" s="19" t="s">
        <v>27</v>
      </c>
      <c r="B29" s="19"/>
      <c r="C29" s="19"/>
      <c r="D29" s="29" t="s">
        <v>28</v>
      </c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19" t="s">
        <v>135</v>
      </c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9" t="str">
        <f t="shared" si="1"/>
        <v>Проверить работу  редуктора  вентилятора  холодильника  при  включенной фрикционной муфте, автоматику системы охлаждения, привода жалюзи</v>
      </c>
      <c r="AR29" s="9"/>
    </row>
    <row r="30" spans="1:46" ht="25.5" customHeight="1" x14ac:dyDescent="0.35">
      <c r="A30" s="28" t="s">
        <v>29</v>
      </c>
      <c r="B30" s="19"/>
      <c r="C30" s="19"/>
      <c r="D30" s="29" t="s">
        <v>30</v>
      </c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19" t="s">
        <v>137</v>
      </c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9" t="str">
        <f t="shared" si="1"/>
        <v>Проверить работу регулятора напряжения и величину зарядного тока по амперметру</v>
      </c>
      <c r="AR30" s="9"/>
    </row>
    <row r="31" spans="1:46" ht="25.5" customHeight="1" x14ac:dyDescent="0.35">
      <c r="A31" s="19">
        <v>2</v>
      </c>
      <c r="B31" s="19"/>
      <c r="C31" s="19"/>
      <c r="D31" s="29" t="s">
        <v>31</v>
      </c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19" t="s">
        <v>135</v>
      </c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9" t="str">
        <f t="shared" si="1"/>
        <v>Произвести обдувку электрических машин, аппаратов и наружнюю поверхность секций холодильника сжатым воздухом</v>
      </c>
      <c r="AR31" s="9"/>
    </row>
    <row r="32" spans="1:46" ht="63.75" customHeight="1" x14ac:dyDescent="0.35">
      <c r="A32" s="19">
        <v>3</v>
      </c>
      <c r="B32" s="19"/>
      <c r="C32" s="19"/>
      <c r="D32" s="29" t="s">
        <v>32</v>
      </c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19" t="s">
        <v>135</v>
      </c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9" t="str">
        <f t="shared" si="1"/>
        <v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v>
      </c>
      <c r="AR32" s="9"/>
    </row>
    <row r="33" spans="1:48" ht="51" customHeight="1" x14ac:dyDescent="0.35">
      <c r="A33" s="19">
        <v>4</v>
      </c>
      <c r="B33" s="19"/>
      <c r="C33" s="19"/>
      <c r="D33" s="29" t="s">
        <v>33</v>
      </c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19" t="s">
        <v>135</v>
      </c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9" t="str">
        <f t="shared" si="1"/>
        <v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v>
      </c>
      <c r="AR33" s="9"/>
    </row>
    <row r="34" spans="1:48" ht="74.599999999999994" x14ac:dyDescent="0.35">
      <c r="A34" s="19">
        <v>5</v>
      </c>
      <c r="B34" s="19"/>
      <c r="C34" s="19"/>
      <c r="D34" s="29" t="s">
        <v>34</v>
      </c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19" t="s">
        <v>135</v>
      </c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9" t="str">
        <f t="shared" si="1"/>
        <v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v>
      </c>
      <c r="AR34" s="9"/>
    </row>
    <row r="35" spans="1:48" ht="37.299999999999997" x14ac:dyDescent="0.35">
      <c r="A35" s="19">
        <v>6</v>
      </c>
      <c r="B35" s="19"/>
      <c r="C35" s="19"/>
      <c r="D35" s="29" t="s">
        <v>35</v>
      </c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19" t="s">
        <v>135</v>
      </c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9" t="str">
        <f t="shared" si="1"/>
        <v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v>
      </c>
      <c r="AR35" s="9"/>
    </row>
    <row r="36" spans="1:48" ht="51" customHeight="1" x14ac:dyDescent="0.35">
      <c r="A36" s="19">
        <v>7</v>
      </c>
      <c r="B36" s="19"/>
      <c r="C36" s="19"/>
      <c r="D36" s="29" t="s">
        <v>36</v>
      </c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19" t="s">
        <v>135</v>
      </c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9" t="str">
        <f t="shared" si="1"/>
        <v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v>
      </c>
      <c r="AR36" s="9"/>
    </row>
    <row r="37" spans="1:48" ht="25.5" customHeight="1" x14ac:dyDescent="0.35">
      <c r="A37" s="19">
        <v>8</v>
      </c>
      <c r="B37" s="19"/>
      <c r="C37" s="19"/>
      <c r="D37" s="29" t="s">
        <v>37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19" t="s">
        <v>135</v>
      </c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9" t="str">
        <f t="shared" si="1"/>
        <v>Проверить и при необходимости отрегулировать натяжение приводных ремней</v>
      </c>
      <c r="AR37" s="9"/>
    </row>
    <row r="38" spans="1:48" ht="25.5" customHeight="1" x14ac:dyDescent="0.35">
      <c r="A38" s="19">
        <v>9</v>
      </c>
      <c r="B38" s="19"/>
      <c r="C38" s="19"/>
      <c r="D38" s="29" t="s">
        <v>38</v>
      </c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19" t="s">
        <v>135</v>
      </c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9" t="str">
        <f t="shared" si="1"/>
        <v>Фильтры топлива, масла и воздуха снять, разобрать  и очистить. Фильтры типа ФЕТО заменить на текущем ремонте ТР.</v>
      </c>
      <c r="AR38" s="9"/>
    </row>
    <row r="39" spans="1:48" ht="51" customHeight="1" x14ac:dyDescent="0.35">
      <c r="A39" s="19">
        <v>10</v>
      </c>
      <c r="B39" s="19"/>
      <c r="C39" s="19"/>
      <c r="D39" s="29" t="s">
        <v>39</v>
      </c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19" t="s">
        <v>135</v>
      </c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9" t="str">
        <f t="shared" si="1"/>
        <v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v>
      </c>
      <c r="AR39" s="9"/>
    </row>
    <row r="40" spans="1:48" ht="76.5" customHeight="1" x14ac:dyDescent="0.35">
      <c r="A40" s="19">
        <v>11</v>
      </c>
      <c r="B40" s="19"/>
      <c r="C40" s="19"/>
      <c r="D40" s="29" t="s">
        <v>40</v>
      </c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19" t="s">
        <v>135</v>
      </c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9" t="str">
        <f t="shared" si="1"/>
        <v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v>
      </c>
      <c r="AR40" s="9"/>
    </row>
    <row r="41" spans="1:48" ht="25.5" customHeight="1" x14ac:dyDescent="0.35">
      <c r="A41" s="19">
        <v>12</v>
      </c>
      <c r="B41" s="19"/>
      <c r="C41" s="19"/>
      <c r="D41" s="29" t="s">
        <v>41</v>
      </c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19" t="s">
        <v>135</v>
      </c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9" t="str">
        <f t="shared" si="1"/>
        <v>У водяных насосов открытого типа добавить  сальниковую набивку.</v>
      </c>
      <c r="AR41" s="9"/>
    </row>
    <row r="42" spans="1:48" ht="62.15" x14ac:dyDescent="0.35">
      <c r="A42" s="19">
        <v>13</v>
      </c>
      <c r="B42" s="19"/>
      <c r="C42" s="19"/>
      <c r="D42" s="29" t="s">
        <v>42</v>
      </c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19" t="s">
        <v>135</v>
      </c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9" t="str">
        <f t="shared" si="1"/>
        <v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v>
      </c>
      <c r="AR42" s="9"/>
    </row>
    <row r="43" spans="1:48" ht="111.9" x14ac:dyDescent="0.35">
      <c r="A43" s="19">
        <v>14</v>
      </c>
      <c r="B43" s="19"/>
      <c r="C43" s="19"/>
      <c r="D43" s="29" t="s">
        <v>43</v>
      </c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19" t="s">
        <v>135</v>
      </c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9" t="str">
        <f t="shared" si="1"/>
        <v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v>
      </c>
      <c r="AR43" s="9"/>
    </row>
    <row r="44" spans="1:48" ht="38.25" customHeight="1" x14ac:dyDescent="0.35">
      <c r="A44" s="19">
        <v>15</v>
      </c>
      <c r="B44" s="19"/>
      <c r="C44" s="19"/>
      <c r="D44" s="29" t="s">
        <v>44</v>
      </c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19" t="s">
        <v>137</v>
      </c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9" t="str">
        <f t="shared" si="1"/>
        <v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v>
      </c>
      <c r="AR44" s="9"/>
    </row>
    <row r="45" spans="1:48" ht="10" customHeight="1" x14ac:dyDescent="0.3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Q45" s="9">
        <f t="shared" si="1"/>
        <v>0</v>
      </c>
      <c r="AR45" s="9"/>
      <c r="AS45" s="7"/>
      <c r="AT45" s="7"/>
      <c r="AU45" s="7"/>
      <c r="AV45" s="7"/>
    </row>
    <row r="46" spans="1:48" x14ac:dyDescent="0.3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19">
        <v>1</v>
      </c>
      <c r="T46" s="19"/>
      <c r="U46" s="19"/>
      <c r="V46" s="19"/>
      <c r="W46" s="19">
        <v>2</v>
      </c>
      <c r="X46" s="19"/>
      <c r="Y46" s="19"/>
      <c r="Z46" s="19"/>
      <c r="AA46" s="19">
        <v>3</v>
      </c>
      <c r="AB46" s="19"/>
      <c r="AC46" s="19"/>
      <c r="AD46" s="19"/>
      <c r="AE46" s="19">
        <v>4</v>
      </c>
      <c r="AF46" s="19"/>
      <c r="AG46" s="19"/>
      <c r="AH46" s="19"/>
      <c r="AI46" s="19">
        <v>5</v>
      </c>
      <c r="AJ46" s="19"/>
      <c r="AK46" s="19"/>
      <c r="AL46" s="19"/>
      <c r="AM46" s="19">
        <v>6</v>
      </c>
      <c r="AN46" s="19"/>
      <c r="AO46" s="19"/>
      <c r="AP46" s="19"/>
      <c r="AQ46" s="9">
        <f t="shared" si="1"/>
        <v>0</v>
      </c>
      <c r="AR46" s="9"/>
    </row>
    <row r="47" spans="1:48" ht="20.149999999999999" customHeight="1" x14ac:dyDescent="0.35">
      <c r="A47" s="19" t="s">
        <v>45</v>
      </c>
      <c r="B47" s="19"/>
      <c r="C47" s="19"/>
      <c r="D47" s="19"/>
      <c r="E47" s="19"/>
      <c r="F47" s="19"/>
      <c r="G47" s="19"/>
      <c r="H47" s="19"/>
      <c r="I47" s="19"/>
      <c r="J47" s="19">
        <v>0.3</v>
      </c>
      <c r="K47" s="19"/>
      <c r="L47" s="19"/>
      <c r="M47" s="19"/>
      <c r="N47" s="19" t="s">
        <v>46</v>
      </c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9">
        <f t="shared" si="1"/>
        <v>0</v>
      </c>
      <c r="AR47" s="9"/>
    </row>
    <row r="48" spans="1:48" ht="20.149999999999999" customHeight="1" x14ac:dyDescent="0.35">
      <c r="A48" s="19"/>
      <c r="B48" s="19"/>
      <c r="C48" s="19"/>
      <c r="D48" s="19"/>
      <c r="E48" s="19"/>
      <c r="F48" s="19"/>
      <c r="G48" s="19"/>
      <c r="H48" s="19"/>
      <c r="I48" s="19"/>
      <c r="J48" s="19">
        <v>0.05</v>
      </c>
      <c r="K48" s="19"/>
      <c r="L48" s="19"/>
      <c r="M48" s="19"/>
      <c r="N48" s="19" t="s">
        <v>47</v>
      </c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9">
        <f t="shared" si="1"/>
        <v>0</v>
      </c>
      <c r="AR48" s="9"/>
    </row>
    <row r="49" spans="1:45" ht="20.149999999999999" customHeight="1" x14ac:dyDescent="0.35">
      <c r="A49" s="19"/>
      <c r="B49" s="19"/>
      <c r="C49" s="19"/>
      <c r="D49" s="19"/>
      <c r="E49" s="19"/>
      <c r="F49" s="19"/>
      <c r="G49" s="19"/>
      <c r="H49" s="19"/>
      <c r="I49" s="19"/>
      <c r="J49" s="19">
        <v>0.25</v>
      </c>
      <c r="K49" s="19"/>
      <c r="L49" s="19"/>
      <c r="M49" s="19" t="s">
        <v>48</v>
      </c>
      <c r="N49" s="19" t="s">
        <v>48</v>
      </c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9">
        <f t="shared" si="1"/>
        <v>0</v>
      </c>
      <c r="AR49" s="9"/>
      <c r="AS49" s="10"/>
    </row>
    <row r="50" spans="1:45" ht="30" customHeight="1" x14ac:dyDescent="0.35">
      <c r="A50" s="19" t="s">
        <v>49</v>
      </c>
      <c r="B50" s="19"/>
      <c r="C50" s="19"/>
      <c r="D50" s="19"/>
      <c r="E50" s="19"/>
      <c r="F50" s="19"/>
      <c r="G50" s="19"/>
      <c r="H50" s="19"/>
      <c r="I50" s="19"/>
      <c r="J50" s="19" t="s">
        <v>50</v>
      </c>
      <c r="K50" s="19"/>
      <c r="L50" s="19"/>
      <c r="M50" s="19"/>
      <c r="N50" s="19" t="s">
        <v>51</v>
      </c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9">
        <f t="shared" si="1"/>
        <v>0</v>
      </c>
      <c r="AR50" s="9"/>
    </row>
    <row r="51" spans="1:45" ht="30" customHeight="1" x14ac:dyDescent="0.3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 t="s">
        <v>52</v>
      </c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9">
        <f t="shared" si="1"/>
        <v>0</v>
      </c>
      <c r="AR51" s="9"/>
    </row>
    <row r="52" spans="1:45" ht="10" customHeight="1" x14ac:dyDescent="0.3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Q52" s="9">
        <f t="shared" si="1"/>
        <v>0</v>
      </c>
      <c r="AR52" s="9"/>
    </row>
    <row r="53" spans="1:45" ht="27" customHeight="1" x14ac:dyDescent="0.35">
      <c r="A53" s="32" t="s">
        <v>53</v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4"/>
      <c r="O53" s="19"/>
      <c r="P53" s="19"/>
      <c r="Q53" s="19"/>
      <c r="R53" s="19"/>
      <c r="S53" s="19"/>
      <c r="T53" s="7"/>
      <c r="U53" s="7"/>
      <c r="V53" s="7"/>
      <c r="W53" s="7"/>
      <c r="X53" s="35" t="s">
        <v>54</v>
      </c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19"/>
      <c r="AM53" s="19"/>
      <c r="AN53" s="19"/>
      <c r="AO53" s="19"/>
      <c r="AP53" s="19"/>
      <c r="AQ53" s="9">
        <f t="shared" si="1"/>
        <v>0</v>
      </c>
      <c r="AR53" s="9"/>
    </row>
    <row r="54" spans="1:45" ht="27" customHeight="1" x14ac:dyDescent="0.35">
      <c r="A54" s="36" t="s">
        <v>55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19"/>
      <c r="P54" s="19"/>
      <c r="Q54" s="19"/>
      <c r="R54" s="19"/>
      <c r="S54" s="19"/>
      <c r="T54" s="7"/>
      <c r="U54" s="7"/>
      <c r="V54" s="7"/>
      <c r="W54" s="7"/>
      <c r="X54" s="35" t="s">
        <v>56</v>
      </c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23"/>
      <c r="AM54" s="23"/>
      <c r="AN54" s="23"/>
      <c r="AO54" s="23"/>
      <c r="AP54" s="23"/>
      <c r="AQ54" s="9">
        <f t="shared" si="1"/>
        <v>0</v>
      </c>
      <c r="AR54" s="9"/>
    </row>
    <row r="55" spans="1:45" ht="25" customHeight="1" x14ac:dyDescent="0.35">
      <c r="A55" s="37" t="s">
        <v>57</v>
      </c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8"/>
      <c r="V55" s="38"/>
      <c r="W55" s="38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9">
        <f t="shared" si="1"/>
        <v>0</v>
      </c>
      <c r="AR55" s="9"/>
    </row>
    <row r="56" spans="1:45" ht="10" customHeight="1" x14ac:dyDescent="0.3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Q56" s="9">
        <f t="shared" si="1"/>
        <v>0</v>
      </c>
      <c r="AR56" s="9"/>
    </row>
    <row r="57" spans="1:45" ht="15" customHeight="1" x14ac:dyDescent="0.35">
      <c r="A57" s="31" t="s">
        <v>58</v>
      </c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9">
        <f t="shared" si="1"/>
        <v>0</v>
      </c>
      <c r="AR57" s="9"/>
    </row>
    <row r="58" spans="1:45" ht="51" customHeight="1" x14ac:dyDescent="0.35">
      <c r="A58" s="19">
        <v>1</v>
      </c>
      <c r="B58" s="19"/>
      <c r="C58" s="19"/>
      <c r="D58" s="29" t="s">
        <v>59</v>
      </c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19" t="s">
        <v>135</v>
      </c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9" t="str">
        <f t="shared" si="1"/>
        <v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v>
      </c>
      <c r="AR58" s="9"/>
      <c r="AS58" s="10"/>
    </row>
    <row r="59" spans="1:45" ht="51" customHeight="1" x14ac:dyDescent="0.35">
      <c r="A59" s="19">
        <v>2</v>
      </c>
      <c r="B59" s="19"/>
      <c r="C59" s="19"/>
      <c r="D59" s="29" t="s">
        <v>60</v>
      </c>
      <c r="E59" s="29" t="s">
        <v>60</v>
      </c>
      <c r="F59" s="29" t="s">
        <v>60</v>
      </c>
      <c r="G59" s="29" t="s">
        <v>60</v>
      </c>
      <c r="H59" s="29" t="s">
        <v>60</v>
      </c>
      <c r="I59" s="29" t="s">
        <v>60</v>
      </c>
      <c r="J59" s="29" t="s">
        <v>60</v>
      </c>
      <c r="K59" s="29" t="s">
        <v>60</v>
      </c>
      <c r="L59" s="29" t="s">
        <v>60</v>
      </c>
      <c r="M59" s="29" t="s">
        <v>60</v>
      </c>
      <c r="N59" s="29" t="s">
        <v>60</v>
      </c>
      <c r="O59" s="29" t="s">
        <v>60</v>
      </c>
      <c r="P59" s="29" t="s">
        <v>60</v>
      </c>
      <c r="Q59" s="29" t="s">
        <v>60</v>
      </c>
      <c r="R59" s="29" t="s">
        <v>60</v>
      </c>
      <c r="S59" s="29" t="s">
        <v>60</v>
      </c>
      <c r="T59" s="29" t="s">
        <v>60</v>
      </c>
      <c r="U59" s="29" t="s">
        <v>60</v>
      </c>
      <c r="V59" s="29" t="s">
        <v>60</v>
      </c>
      <c r="W59" s="29" t="s">
        <v>60</v>
      </c>
      <c r="X59" s="29" t="s">
        <v>60</v>
      </c>
      <c r="Y59" s="29" t="s">
        <v>60</v>
      </c>
      <c r="Z59" s="29" t="s">
        <v>60</v>
      </c>
      <c r="AA59" s="19" t="s">
        <v>135</v>
      </c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9" t="str">
        <f t="shared" si="1"/>
        <v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v>
      </c>
      <c r="AR59" s="9"/>
    </row>
    <row r="60" spans="1:45" ht="25" customHeight="1" x14ac:dyDescent="0.35">
      <c r="A60" s="19">
        <v>3</v>
      </c>
      <c r="B60" s="19"/>
      <c r="C60" s="19"/>
      <c r="D60" s="29" t="s">
        <v>61</v>
      </c>
      <c r="E60" s="29" t="s">
        <v>61</v>
      </c>
      <c r="F60" s="29" t="s">
        <v>61</v>
      </c>
      <c r="G60" s="29" t="s">
        <v>61</v>
      </c>
      <c r="H60" s="29" t="s">
        <v>61</v>
      </c>
      <c r="I60" s="29" t="s">
        <v>61</v>
      </c>
      <c r="J60" s="29" t="s">
        <v>61</v>
      </c>
      <c r="K60" s="29" t="s">
        <v>61</v>
      </c>
      <c r="L60" s="29" t="s">
        <v>61</v>
      </c>
      <c r="M60" s="29" t="s">
        <v>61</v>
      </c>
      <c r="N60" s="29" t="s">
        <v>61</v>
      </c>
      <c r="O60" s="29" t="s">
        <v>61</v>
      </c>
      <c r="P60" s="29" t="s">
        <v>61</v>
      </c>
      <c r="Q60" s="29" t="s">
        <v>61</v>
      </c>
      <c r="R60" s="29" t="s">
        <v>61</v>
      </c>
      <c r="S60" s="29" t="s">
        <v>61</v>
      </c>
      <c r="T60" s="29" t="s">
        <v>61</v>
      </c>
      <c r="U60" s="29" t="s">
        <v>61</v>
      </c>
      <c r="V60" s="29" t="s">
        <v>61</v>
      </c>
      <c r="W60" s="29" t="s">
        <v>61</v>
      </c>
      <c r="X60" s="29" t="s">
        <v>61</v>
      </c>
      <c r="Y60" s="29" t="s">
        <v>61</v>
      </c>
      <c r="Z60" s="29" t="s">
        <v>61</v>
      </c>
      <c r="AA60" s="19" t="s">
        <v>135</v>
      </c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9" t="str">
        <f t="shared" si="1"/>
        <v>Проверить работу основного топливоподкачивающего насоса.</v>
      </c>
      <c r="AR60" s="9"/>
    </row>
    <row r="61" spans="1:45" ht="25.5" customHeight="1" x14ac:dyDescent="0.35">
      <c r="A61" s="19">
        <v>4</v>
      </c>
      <c r="B61" s="19"/>
      <c r="C61" s="19"/>
      <c r="D61" s="29" t="s">
        <v>62</v>
      </c>
      <c r="E61" s="29" t="s">
        <v>62</v>
      </c>
      <c r="F61" s="29" t="s">
        <v>62</v>
      </c>
      <c r="G61" s="29" t="s">
        <v>62</v>
      </c>
      <c r="H61" s="29" t="s">
        <v>62</v>
      </c>
      <c r="I61" s="29" t="s">
        <v>62</v>
      </c>
      <c r="J61" s="29" t="s">
        <v>62</v>
      </c>
      <c r="K61" s="29" t="s">
        <v>62</v>
      </c>
      <c r="L61" s="29" t="s">
        <v>62</v>
      </c>
      <c r="M61" s="29" t="s">
        <v>62</v>
      </c>
      <c r="N61" s="29" t="s">
        <v>62</v>
      </c>
      <c r="O61" s="29" t="s">
        <v>62</v>
      </c>
      <c r="P61" s="29" t="s">
        <v>62</v>
      </c>
      <c r="Q61" s="29" t="s">
        <v>62</v>
      </c>
      <c r="R61" s="29" t="s">
        <v>62</v>
      </c>
      <c r="S61" s="29" t="s">
        <v>62</v>
      </c>
      <c r="T61" s="29" t="s">
        <v>62</v>
      </c>
      <c r="U61" s="29" t="s">
        <v>62</v>
      </c>
      <c r="V61" s="29" t="s">
        <v>62</v>
      </c>
      <c r="W61" s="29" t="s">
        <v>62</v>
      </c>
      <c r="X61" s="29" t="s">
        <v>62</v>
      </c>
      <c r="Y61" s="29" t="s">
        <v>62</v>
      </c>
      <c r="Z61" s="29" t="s">
        <v>62</v>
      </c>
      <c r="AA61" s="19" t="s">
        <v>135</v>
      </c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9" t="str">
        <f t="shared" si="1"/>
        <v>Снять и проверить через одно техническое обслуживание ТО-3  работу форсунок на стенде.</v>
      </c>
      <c r="AR61" s="9"/>
    </row>
    <row r="62" spans="1:45" ht="25.5" customHeight="1" x14ac:dyDescent="0.35">
      <c r="A62" s="19">
        <v>5</v>
      </c>
      <c r="B62" s="19"/>
      <c r="C62" s="19"/>
      <c r="D62" s="29" t="s">
        <v>63</v>
      </c>
      <c r="E62" s="29" t="s">
        <v>63</v>
      </c>
      <c r="F62" s="29" t="s">
        <v>63</v>
      </c>
      <c r="G62" s="29" t="s">
        <v>63</v>
      </c>
      <c r="H62" s="29" t="s">
        <v>63</v>
      </c>
      <c r="I62" s="29" t="s">
        <v>63</v>
      </c>
      <c r="J62" s="29" t="s">
        <v>63</v>
      </c>
      <c r="K62" s="29" t="s">
        <v>63</v>
      </c>
      <c r="L62" s="29" t="s">
        <v>63</v>
      </c>
      <c r="M62" s="29" t="s">
        <v>63</v>
      </c>
      <c r="N62" s="29" t="s">
        <v>63</v>
      </c>
      <c r="O62" s="29" t="s">
        <v>63</v>
      </c>
      <c r="P62" s="29" t="s">
        <v>63</v>
      </c>
      <c r="Q62" s="29" t="s">
        <v>63</v>
      </c>
      <c r="R62" s="29" t="s">
        <v>63</v>
      </c>
      <c r="S62" s="29" t="s">
        <v>63</v>
      </c>
      <c r="T62" s="29" t="s">
        <v>63</v>
      </c>
      <c r="U62" s="29" t="s">
        <v>63</v>
      </c>
      <c r="V62" s="29" t="s">
        <v>63</v>
      </c>
      <c r="W62" s="29" t="s">
        <v>63</v>
      </c>
      <c r="X62" s="29" t="s">
        <v>63</v>
      </c>
      <c r="Y62" s="29" t="s">
        <v>63</v>
      </c>
      <c r="Z62" s="29" t="s">
        <v>63</v>
      </c>
      <c r="AA62" s="19" t="s">
        <v>135</v>
      </c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9" t="str">
        <f t="shared" si="1"/>
        <v>Проверить работу фильтров грубой очистки топлива, сменить ФТО на ТР-1.</v>
      </c>
      <c r="AR62" s="9"/>
    </row>
    <row r="63" spans="1:45" ht="38.25" customHeight="1" x14ac:dyDescent="0.35">
      <c r="A63" s="19">
        <v>6</v>
      </c>
      <c r="B63" s="19"/>
      <c r="C63" s="19"/>
      <c r="D63" s="29" t="s">
        <v>64</v>
      </c>
      <c r="E63" s="29" t="s">
        <v>64</v>
      </c>
      <c r="F63" s="29" t="s">
        <v>64</v>
      </c>
      <c r="G63" s="29" t="s">
        <v>64</v>
      </c>
      <c r="H63" s="29" t="s">
        <v>64</v>
      </c>
      <c r="I63" s="29" t="s">
        <v>64</v>
      </c>
      <c r="J63" s="29" t="s">
        <v>64</v>
      </c>
      <c r="K63" s="29" t="s">
        <v>64</v>
      </c>
      <c r="L63" s="29" t="s">
        <v>64</v>
      </c>
      <c r="M63" s="29" t="s">
        <v>64</v>
      </c>
      <c r="N63" s="29" t="s">
        <v>64</v>
      </c>
      <c r="O63" s="29" t="s">
        <v>64</v>
      </c>
      <c r="P63" s="29" t="s">
        <v>64</v>
      </c>
      <c r="Q63" s="29" t="s">
        <v>64</v>
      </c>
      <c r="R63" s="29" t="s">
        <v>64</v>
      </c>
      <c r="S63" s="29" t="s">
        <v>64</v>
      </c>
      <c r="T63" s="29" t="s">
        <v>64</v>
      </c>
      <c r="U63" s="29" t="s">
        <v>64</v>
      </c>
      <c r="V63" s="29" t="s">
        <v>64</v>
      </c>
      <c r="W63" s="29" t="s">
        <v>64</v>
      </c>
      <c r="X63" s="29" t="s">
        <v>64</v>
      </c>
      <c r="Y63" s="29" t="s">
        <v>64</v>
      </c>
      <c r="Z63" s="29" t="s">
        <v>64</v>
      </c>
      <c r="AA63" s="19" t="s">
        <v>135</v>
      </c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9" t="str">
        <f t="shared" si="1"/>
        <v>После ремонта запустить дизель и проверить работу узлов и агрегатов, отсутствие течи топлива по трубкам форсунок и ТНВД.</v>
      </c>
      <c r="AR63" s="9"/>
    </row>
    <row r="64" spans="1:45" ht="25" customHeight="1" x14ac:dyDescent="0.35">
      <c r="A64" s="37" t="s">
        <v>57</v>
      </c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9">
        <f t="shared" si="1"/>
        <v>0</v>
      </c>
      <c r="AR64" s="9"/>
    </row>
    <row r="65" spans="1:45" ht="10" customHeight="1" x14ac:dyDescent="0.35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Q65" s="9">
        <f t="shared" si="1"/>
        <v>0</v>
      </c>
      <c r="AR65" s="9"/>
    </row>
    <row r="66" spans="1:45" ht="15" customHeight="1" x14ac:dyDescent="0.35">
      <c r="A66" s="31" t="s">
        <v>65</v>
      </c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9">
        <f t="shared" si="1"/>
        <v>0</v>
      </c>
      <c r="AR66" s="9"/>
    </row>
    <row r="67" spans="1:45" ht="15" customHeight="1" x14ac:dyDescent="0.35">
      <c r="A67" s="12" t="s">
        <v>13</v>
      </c>
      <c r="C67" s="13"/>
      <c r="AQ67" s="9">
        <f t="shared" si="1"/>
        <v>0</v>
      </c>
      <c r="AR67" s="9"/>
    </row>
    <row r="68" spans="1:45" ht="51" customHeight="1" x14ac:dyDescent="0.35">
      <c r="A68" s="19">
        <v>1</v>
      </c>
      <c r="B68" s="19"/>
      <c r="C68" s="19"/>
      <c r="D68" s="29" t="s">
        <v>66</v>
      </c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19" t="s">
        <v>141</v>
      </c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9" t="str">
        <f t="shared" si="1"/>
        <v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v>
      </c>
      <c r="AR68" s="9"/>
    </row>
    <row r="69" spans="1:45" ht="25.5" customHeight="1" x14ac:dyDescent="0.35">
      <c r="A69" s="19">
        <v>2</v>
      </c>
      <c r="B69" s="19"/>
      <c r="C69" s="19"/>
      <c r="D69" s="29" t="s">
        <v>67</v>
      </c>
      <c r="E69" s="29" t="s">
        <v>67</v>
      </c>
      <c r="F69" s="29" t="s">
        <v>67</v>
      </c>
      <c r="G69" s="29" t="s">
        <v>67</v>
      </c>
      <c r="H69" s="29" t="s">
        <v>67</v>
      </c>
      <c r="I69" s="29" t="s">
        <v>67</v>
      </c>
      <c r="J69" s="29" t="s">
        <v>67</v>
      </c>
      <c r="K69" s="29" t="s">
        <v>67</v>
      </c>
      <c r="L69" s="29" t="s">
        <v>67</v>
      </c>
      <c r="M69" s="29" t="s">
        <v>67</v>
      </c>
      <c r="N69" s="29" t="s">
        <v>67</v>
      </c>
      <c r="O69" s="29" t="s">
        <v>67</v>
      </c>
      <c r="P69" s="29" t="s">
        <v>67</v>
      </c>
      <c r="Q69" s="29" t="s">
        <v>67</v>
      </c>
      <c r="R69" s="29" t="s">
        <v>67</v>
      </c>
      <c r="S69" s="29" t="s">
        <v>67</v>
      </c>
      <c r="T69" s="29" t="s">
        <v>67</v>
      </c>
      <c r="U69" s="29" t="s">
        <v>67</v>
      </c>
      <c r="V69" s="29" t="s">
        <v>67</v>
      </c>
      <c r="W69" s="29" t="s">
        <v>67</v>
      </c>
      <c r="X69" s="29" t="s">
        <v>67</v>
      </c>
      <c r="Y69" s="29" t="s">
        <v>67</v>
      </c>
      <c r="Z69" s="29" t="s">
        <v>67</v>
      </c>
      <c r="AA69" s="19" t="s">
        <v>141</v>
      </c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9" t="str">
        <f t="shared" si="1"/>
        <v>Осмотреть состояние коллекторов. Произвести осмотр и ремонт эл. аппаратуры.</v>
      </c>
      <c r="AR69" s="9"/>
    </row>
    <row r="70" spans="1:45" ht="51" customHeight="1" x14ac:dyDescent="0.35">
      <c r="A70" s="19">
        <v>3</v>
      </c>
      <c r="B70" s="19"/>
      <c r="C70" s="19"/>
      <c r="D70" s="29" t="s">
        <v>68</v>
      </c>
      <c r="E70" s="29" t="s">
        <v>68</v>
      </c>
      <c r="F70" s="29" t="s">
        <v>68</v>
      </c>
      <c r="G70" s="29" t="s">
        <v>68</v>
      </c>
      <c r="H70" s="29" t="s">
        <v>68</v>
      </c>
      <c r="I70" s="29" t="s">
        <v>68</v>
      </c>
      <c r="J70" s="29" t="s">
        <v>68</v>
      </c>
      <c r="K70" s="29" t="s">
        <v>68</v>
      </c>
      <c r="L70" s="29" t="s">
        <v>68</v>
      </c>
      <c r="M70" s="29" t="s">
        <v>68</v>
      </c>
      <c r="N70" s="29" t="s">
        <v>68</v>
      </c>
      <c r="O70" s="29" t="s">
        <v>68</v>
      </c>
      <c r="P70" s="29" t="s">
        <v>68</v>
      </c>
      <c r="Q70" s="29" t="s">
        <v>68</v>
      </c>
      <c r="R70" s="29" t="s">
        <v>68</v>
      </c>
      <c r="S70" s="29" t="s">
        <v>68</v>
      </c>
      <c r="T70" s="29" t="s">
        <v>68</v>
      </c>
      <c r="U70" s="29" t="s">
        <v>68</v>
      </c>
      <c r="V70" s="29" t="s">
        <v>68</v>
      </c>
      <c r="W70" s="29" t="s">
        <v>68</v>
      </c>
      <c r="X70" s="29" t="s">
        <v>68</v>
      </c>
      <c r="Y70" s="29" t="s">
        <v>68</v>
      </c>
      <c r="Z70" s="29" t="s">
        <v>68</v>
      </c>
      <c r="AA70" s="19" t="s">
        <v>141</v>
      </c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9" t="str">
        <f t="shared" si="1"/>
        <v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v>
      </c>
      <c r="AR70" s="9"/>
    </row>
    <row r="71" spans="1:45" ht="37.299999999999997" x14ac:dyDescent="0.35">
      <c r="A71" s="19">
        <v>4</v>
      </c>
      <c r="B71" s="19"/>
      <c r="C71" s="19"/>
      <c r="D71" s="29" t="s">
        <v>69</v>
      </c>
      <c r="E71" s="29" t="s">
        <v>69</v>
      </c>
      <c r="F71" s="29" t="s">
        <v>69</v>
      </c>
      <c r="G71" s="29" t="s">
        <v>69</v>
      </c>
      <c r="H71" s="29" t="s">
        <v>69</v>
      </c>
      <c r="I71" s="29" t="s">
        <v>69</v>
      </c>
      <c r="J71" s="29" t="s">
        <v>69</v>
      </c>
      <c r="K71" s="29" t="s">
        <v>69</v>
      </c>
      <c r="L71" s="29" t="s">
        <v>69</v>
      </c>
      <c r="M71" s="29" t="s">
        <v>69</v>
      </c>
      <c r="N71" s="29" t="s">
        <v>69</v>
      </c>
      <c r="O71" s="29" t="s">
        <v>69</v>
      </c>
      <c r="P71" s="29" t="s">
        <v>69</v>
      </c>
      <c r="Q71" s="29" t="s">
        <v>69</v>
      </c>
      <c r="R71" s="29" t="s">
        <v>69</v>
      </c>
      <c r="S71" s="29" t="s">
        <v>69</v>
      </c>
      <c r="T71" s="29" t="s">
        <v>69</v>
      </c>
      <c r="U71" s="29" t="s">
        <v>69</v>
      </c>
      <c r="V71" s="29" t="s">
        <v>69</v>
      </c>
      <c r="W71" s="29" t="s">
        <v>69</v>
      </c>
      <c r="X71" s="29" t="s">
        <v>69</v>
      </c>
      <c r="Y71" s="29" t="s">
        <v>69</v>
      </c>
      <c r="Z71" s="29" t="s">
        <v>69</v>
      </c>
      <c r="AA71" s="19" t="s">
        <v>141</v>
      </c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9" t="str">
        <f t="shared" si="1"/>
        <v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v>
      </c>
      <c r="AR71" s="9"/>
    </row>
    <row r="72" spans="1:45" ht="25.5" customHeight="1" x14ac:dyDescent="0.35">
      <c r="A72" s="19">
        <v>5</v>
      </c>
      <c r="B72" s="19"/>
      <c r="C72" s="19"/>
      <c r="D72" s="29" t="s">
        <v>70</v>
      </c>
      <c r="E72" s="29" t="s">
        <v>70</v>
      </c>
      <c r="F72" s="29" t="s">
        <v>70</v>
      </c>
      <c r="G72" s="29" t="s">
        <v>70</v>
      </c>
      <c r="H72" s="29" t="s">
        <v>70</v>
      </c>
      <c r="I72" s="29" t="s">
        <v>70</v>
      </c>
      <c r="J72" s="29" t="s">
        <v>70</v>
      </c>
      <c r="K72" s="29" t="s">
        <v>70</v>
      </c>
      <c r="L72" s="29" t="s">
        <v>70</v>
      </c>
      <c r="M72" s="29" t="s">
        <v>70</v>
      </c>
      <c r="N72" s="29" t="s">
        <v>70</v>
      </c>
      <c r="O72" s="29" t="s">
        <v>70</v>
      </c>
      <c r="P72" s="29" t="s">
        <v>70</v>
      </c>
      <c r="Q72" s="29" t="s">
        <v>70</v>
      </c>
      <c r="R72" s="29" t="s">
        <v>70</v>
      </c>
      <c r="S72" s="29" t="s">
        <v>70</v>
      </c>
      <c r="T72" s="29" t="s">
        <v>70</v>
      </c>
      <c r="U72" s="29" t="s">
        <v>70</v>
      </c>
      <c r="V72" s="29" t="s">
        <v>70</v>
      </c>
      <c r="W72" s="29" t="s">
        <v>70</v>
      </c>
      <c r="X72" s="29" t="s">
        <v>70</v>
      </c>
      <c r="Y72" s="29" t="s">
        <v>70</v>
      </c>
      <c r="Z72" s="29" t="s">
        <v>70</v>
      </c>
      <c r="AA72" s="19" t="s">
        <v>141</v>
      </c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9" t="str">
        <f t="shared" si="1"/>
        <v>Произвести проверку работы аварийной сигнализации работы дизеля и пожарной сигнализации.</v>
      </c>
      <c r="AR72" s="9"/>
    </row>
    <row r="73" spans="1:45" ht="86.25" customHeight="1" x14ac:dyDescent="0.35">
      <c r="A73" s="23">
        <v>6</v>
      </c>
      <c r="B73" s="23"/>
      <c r="C73" s="23"/>
      <c r="D73" s="39" t="s">
        <v>71</v>
      </c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19" t="s">
        <v>137</v>
      </c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9" t="str">
        <f t="shared" si="1"/>
        <v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v>
      </c>
      <c r="AR73" s="9"/>
    </row>
    <row r="74" spans="1:45" ht="25" customHeight="1" x14ac:dyDescent="0.35">
      <c r="A74" s="37" t="s">
        <v>57</v>
      </c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9">
        <f t="shared" si="1"/>
        <v>0</v>
      </c>
      <c r="AR74" s="9"/>
    </row>
    <row r="75" spans="1:45" ht="10" customHeight="1" x14ac:dyDescent="0.35"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Q75" s="9">
        <f t="shared" si="1"/>
        <v>0</v>
      </c>
      <c r="AR75" s="9"/>
    </row>
    <row r="76" spans="1:45" ht="15" customHeight="1" x14ac:dyDescent="0.35">
      <c r="A76" s="12" t="s">
        <v>72</v>
      </c>
      <c r="AQ76" s="9">
        <f t="shared" si="1"/>
        <v>0</v>
      </c>
      <c r="AR76" s="9"/>
    </row>
    <row r="77" spans="1:45" ht="63.75" customHeight="1" x14ac:dyDescent="0.35">
      <c r="A77" s="19">
        <v>1</v>
      </c>
      <c r="B77" s="19"/>
      <c r="C77" s="19"/>
      <c r="D77" s="29" t="s">
        <v>73</v>
      </c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19" t="s">
        <v>137</v>
      </c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9" t="str">
        <f t="shared" si="1"/>
        <v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v>
      </c>
      <c r="AR77" s="9"/>
    </row>
    <row r="78" spans="1:45" ht="25.5" customHeight="1" x14ac:dyDescent="0.35">
      <c r="A78" s="19">
        <v>2</v>
      </c>
      <c r="B78" s="19"/>
      <c r="C78" s="19"/>
      <c r="D78" s="29" t="s">
        <v>74</v>
      </c>
      <c r="E78" s="29" t="s">
        <v>74</v>
      </c>
      <c r="F78" s="29" t="s">
        <v>74</v>
      </c>
      <c r="G78" s="29" t="s">
        <v>74</v>
      </c>
      <c r="H78" s="29" t="s">
        <v>74</v>
      </c>
      <c r="I78" s="29" t="s">
        <v>74</v>
      </c>
      <c r="J78" s="29" t="s">
        <v>74</v>
      </c>
      <c r="K78" s="29" t="s">
        <v>74</v>
      </c>
      <c r="L78" s="29" t="s">
        <v>74</v>
      </c>
      <c r="M78" s="29" t="s">
        <v>74</v>
      </c>
      <c r="N78" s="29" t="s">
        <v>74</v>
      </c>
      <c r="O78" s="29" t="s">
        <v>74</v>
      </c>
      <c r="P78" s="29" t="s">
        <v>74</v>
      </c>
      <c r="Q78" s="29" t="s">
        <v>74</v>
      </c>
      <c r="R78" s="29" t="s">
        <v>74</v>
      </c>
      <c r="S78" s="29" t="s">
        <v>74</v>
      </c>
      <c r="T78" s="29" t="s">
        <v>74</v>
      </c>
      <c r="U78" s="29" t="s">
        <v>74</v>
      </c>
      <c r="V78" s="29" t="s">
        <v>74</v>
      </c>
      <c r="W78" s="29" t="s">
        <v>74</v>
      </c>
      <c r="X78" s="29" t="s">
        <v>74</v>
      </c>
      <c r="Y78" s="29" t="s">
        <v>74</v>
      </c>
      <c r="Z78" s="29" t="s">
        <v>74</v>
      </c>
      <c r="AA78" s="19" t="s">
        <v>137</v>
      </c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9" t="str">
        <f t="shared" si="1"/>
        <v>Произвести смазку скользящих контактов контроллера машиниста.</v>
      </c>
      <c r="AR78" s="9"/>
      <c r="AS78" s="10"/>
    </row>
    <row r="79" spans="1:45" ht="25" customHeight="1" x14ac:dyDescent="0.35">
      <c r="A79" s="23">
        <v>3</v>
      </c>
      <c r="B79" s="23"/>
      <c r="C79" s="23"/>
      <c r="D79" s="40" t="s">
        <v>75</v>
      </c>
      <c r="E79" s="40" t="s">
        <v>75</v>
      </c>
      <c r="F79" s="40" t="s">
        <v>75</v>
      </c>
      <c r="G79" s="40" t="s">
        <v>75</v>
      </c>
      <c r="H79" s="40" t="s">
        <v>75</v>
      </c>
      <c r="I79" s="40" t="s">
        <v>75</v>
      </c>
      <c r="J79" s="40" t="s">
        <v>75</v>
      </c>
      <c r="K79" s="40" t="s">
        <v>75</v>
      </c>
      <c r="L79" s="40" t="s">
        <v>75</v>
      </c>
      <c r="M79" s="40" t="s">
        <v>75</v>
      </c>
      <c r="N79" s="40" t="s">
        <v>75</v>
      </c>
      <c r="O79" s="40" t="s">
        <v>75</v>
      </c>
      <c r="P79" s="40" t="s">
        <v>75</v>
      </c>
      <c r="Q79" s="40" t="s">
        <v>75</v>
      </c>
      <c r="R79" s="40" t="s">
        <v>75</v>
      </c>
      <c r="S79" s="40" t="s">
        <v>75</v>
      </c>
      <c r="T79" s="40" t="s">
        <v>75</v>
      </c>
      <c r="U79" s="40" t="s">
        <v>75</v>
      </c>
      <c r="V79" s="40" t="s">
        <v>75</v>
      </c>
      <c r="W79" s="40" t="s">
        <v>75</v>
      </c>
      <c r="X79" s="40" t="s">
        <v>75</v>
      </c>
      <c r="Y79" s="40" t="s">
        <v>75</v>
      </c>
      <c r="Z79" s="40" t="s">
        <v>75</v>
      </c>
      <c r="AA79" s="19" t="s">
        <v>137</v>
      </c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9" t="str">
        <f t="shared" si="1"/>
        <v>После запуска дизеля проверить работу регулятора напряжения.</v>
      </c>
      <c r="AR79" s="9"/>
    </row>
    <row r="80" spans="1:45" ht="25" customHeight="1" x14ac:dyDescent="0.35">
      <c r="A80" s="37" t="s">
        <v>57</v>
      </c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9">
        <f t="shared" si="1"/>
        <v>0</v>
      </c>
      <c r="AR80" s="9"/>
    </row>
    <row r="81" spans="1:45" ht="10" customHeight="1" x14ac:dyDescent="0.35">
      <c r="AQ81" s="9">
        <f t="shared" si="1"/>
        <v>0</v>
      </c>
      <c r="AR81" s="9"/>
    </row>
    <row r="82" spans="1:45" ht="15" customHeight="1" x14ac:dyDescent="0.35">
      <c r="A82" s="12" t="s">
        <v>3</v>
      </c>
      <c r="AQ82" s="9">
        <f t="shared" si="1"/>
        <v>0</v>
      </c>
      <c r="AR82" s="9"/>
    </row>
    <row r="83" spans="1:45" ht="127.5" customHeight="1" x14ac:dyDescent="0.35">
      <c r="A83" s="19">
        <v>1</v>
      </c>
      <c r="B83" s="19"/>
      <c r="C83" s="19"/>
      <c r="D83" s="40" t="s">
        <v>76</v>
      </c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19" t="s">
        <v>136</v>
      </c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9" t="str">
        <f t="shared" si="1"/>
        <v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v>
      </c>
      <c r="AR83" s="9"/>
    </row>
    <row r="84" spans="1:45" ht="25" customHeight="1" x14ac:dyDescent="0.35">
      <c r="A84" s="37" t="s">
        <v>57</v>
      </c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9">
        <f t="shared" si="1"/>
        <v>0</v>
      </c>
      <c r="AR84" s="9"/>
    </row>
    <row r="85" spans="1:45" ht="10" customHeight="1" x14ac:dyDescent="0.35">
      <c r="AQ85" s="9">
        <f t="shared" si="1"/>
        <v>0</v>
      </c>
      <c r="AR85" s="9"/>
    </row>
    <row r="86" spans="1:45" ht="15" customHeight="1" x14ac:dyDescent="0.35">
      <c r="A86" s="31" t="s">
        <v>77</v>
      </c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9">
        <f t="shared" si="1"/>
        <v>0</v>
      </c>
      <c r="AR86" s="9"/>
    </row>
    <row r="87" spans="1:45" ht="25" customHeight="1" x14ac:dyDescent="0.35">
      <c r="A87" s="19">
        <v>1</v>
      </c>
      <c r="B87" s="19"/>
      <c r="C87" s="19"/>
      <c r="D87" s="29" t="s">
        <v>78</v>
      </c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19" t="s">
        <v>139</v>
      </c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9" t="str">
        <f t="shared" si="1"/>
        <v>Осмотреть и проверить состояние КП, рам тележек.</v>
      </c>
      <c r="AR87" s="9"/>
    </row>
    <row r="88" spans="1:45" ht="25" customHeight="1" x14ac:dyDescent="0.35">
      <c r="A88" s="19">
        <v>2</v>
      </c>
      <c r="B88" s="19"/>
      <c r="C88" s="19"/>
      <c r="D88" s="29" t="s">
        <v>79</v>
      </c>
      <c r="E88" s="29" t="s">
        <v>79</v>
      </c>
      <c r="F88" s="29" t="s">
        <v>79</v>
      </c>
      <c r="G88" s="29" t="s">
        <v>79</v>
      </c>
      <c r="H88" s="29" t="s">
        <v>79</v>
      </c>
      <c r="I88" s="29" t="s">
        <v>79</v>
      </c>
      <c r="J88" s="29" t="s">
        <v>79</v>
      </c>
      <c r="K88" s="29" t="s">
        <v>79</v>
      </c>
      <c r="L88" s="29" t="s">
        <v>79</v>
      </c>
      <c r="M88" s="29" t="s">
        <v>79</v>
      </c>
      <c r="N88" s="29" t="s">
        <v>79</v>
      </c>
      <c r="O88" s="29" t="s">
        <v>79</v>
      </c>
      <c r="P88" s="29" t="s">
        <v>79</v>
      </c>
      <c r="Q88" s="29" t="s">
        <v>79</v>
      </c>
      <c r="R88" s="29" t="s">
        <v>79</v>
      </c>
      <c r="S88" s="29" t="s">
        <v>79</v>
      </c>
      <c r="T88" s="29" t="s">
        <v>79</v>
      </c>
      <c r="U88" s="29" t="s">
        <v>79</v>
      </c>
      <c r="V88" s="29" t="s">
        <v>79</v>
      </c>
      <c r="W88" s="29" t="s">
        <v>79</v>
      </c>
      <c r="X88" s="29" t="e">
        <f>VLOOKUP(#REF!,#REF!,2,0)</f>
        <v>#REF!</v>
      </c>
      <c r="Y88" s="29"/>
      <c r="Z88" s="29"/>
      <c r="AA88" s="19" t="s">
        <v>139</v>
      </c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9" t="str">
        <f t="shared" si="1"/>
        <v>Проверить состояние рессорного подвешивания тележек.</v>
      </c>
      <c r="AR88" s="9"/>
    </row>
    <row r="89" spans="1:45" ht="25" customHeight="1" x14ac:dyDescent="0.35">
      <c r="A89" s="19">
        <v>3</v>
      </c>
      <c r="B89" s="19"/>
      <c r="C89" s="19"/>
      <c r="D89" s="29" t="s">
        <v>80</v>
      </c>
      <c r="E89" s="29" t="s">
        <v>80</v>
      </c>
      <c r="F89" s="29" t="s">
        <v>80</v>
      </c>
      <c r="G89" s="29" t="s">
        <v>80</v>
      </c>
      <c r="H89" s="29" t="s">
        <v>80</v>
      </c>
      <c r="I89" s="29" t="s">
        <v>80</v>
      </c>
      <c r="J89" s="29" t="s">
        <v>80</v>
      </c>
      <c r="K89" s="29" t="s">
        <v>80</v>
      </c>
      <c r="L89" s="29" t="s">
        <v>80</v>
      </c>
      <c r="M89" s="29" t="s">
        <v>80</v>
      </c>
      <c r="N89" s="29" t="s">
        <v>80</v>
      </c>
      <c r="O89" s="29" t="s">
        <v>80</v>
      </c>
      <c r="P89" s="29" t="s">
        <v>80</v>
      </c>
      <c r="Q89" s="29" t="s">
        <v>80</v>
      </c>
      <c r="R89" s="29" t="s">
        <v>80</v>
      </c>
      <c r="S89" s="29" t="s">
        <v>80</v>
      </c>
      <c r="T89" s="29" t="s">
        <v>80</v>
      </c>
      <c r="U89" s="29" t="s">
        <v>80</v>
      </c>
      <c r="V89" s="29" t="s">
        <v>80</v>
      </c>
      <c r="W89" s="29" t="s">
        <v>80</v>
      </c>
      <c r="X89" s="29" t="e">
        <f>VLOOKUP(#REF!,#REF!,2,0)</f>
        <v>#REF!</v>
      </c>
      <c r="Y89" s="29"/>
      <c r="Z89" s="29"/>
      <c r="AA89" s="19" t="s">
        <v>139</v>
      </c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9" t="str">
        <f t="shared" ref="AQ89:AQ163" si="2">D89</f>
        <v>Произвести наружный осмотр букс, проверить крепление крышек.</v>
      </c>
      <c r="AR89" s="9"/>
      <c r="AS89" s="10"/>
    </row>
    <row r="90" spans="1:45" ht="38.25" customHeight="1" x14ac:dyDescent="0.35">
      <c r="A90" s="19">
        <v>4</v>
      </c>
      <c r="B90" s="19"/>
      <c r="C90" s="19"/>
      <c r="D90" s="29" t="s">
        <v>81</v>
      </c>
      <c r="E90" s="29" t="s">
        <v>81</v>
      </c>
      <c r="F90" s="29" t="s">
        <v>81</v>
      </c>
      <c r="G90" s="29" t="s">
        <v>81</v>
      </c>
      <c r="H90" s="29" t="s">
        <v>81</v>
      </c>
      <c r="I90" s="29" t="s">
        <v>81</v>
      </c>
      <c r="J90" s="29" t="s">
        <v>81</v>
      </c>
      <c r="K90" s="29" t="s">
        <v>81</v>
      </c>
      <c r="L90" s="29" t="s">
        <v>81</v>
      </c>
      <c r="M90" s="29" t="s">
        <v>81</v>
      </c>
      <c r="N90" s="29" t="s">
        <v>81</v>
      </c>
      <c r="O90" s="29" t="s">
        <v>81</v>
      </c>
      <c r="P90" s="29" t="s">
        <v>81</v>
      </c>
      <c r="Q90" s="29" t="s">
        <v>81</v>
      </c>
      <c r="R90" s="29" t="s">
        <v>81</v>
      </c>
      <c r="S90" s="29" t="s">
        <v>81</v>
      </c>
      <c r="T90" s="29" t="s">
        <v>81</v>
      </c>
      <c r="U90" s="29" t="s">
        <v>81</v>
      </c>
      <c r="V90" s="29" t="s">
        <v>81</v>
      </c>
      <c r="W90" s="29" t="s">
        <v>81</v>
      </c>
      <c r="X90" s="29" t="e">
        <f>VLOOKUP(#REF!,#REF!,2,0)</f>
        <v>#REF!</v>
      </c>
      <c r="Y90" s="29"/>
      <c r="Z90" s="29"/>
      <c r="AA90" s="19" t="s">
        <v>139</v>
      </c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9" t="str">
        <f t="shared" si="2"/>
        <v>Проверить крепление МОП, крышки подшипников осмотреть. Проверить крепление кожухов зубчатых передач, устранить течь смазки.</v>
      </c>
      <c r="AR90" s="9"/>
    </row>
    <row r="91" spans="1:45" ht="25.5" customHeight="1" x14ac:dyDescent="0.35">
      <c r="A91" s="19">
        <v>5</v>
      </c>
      <c r="B91" s="19"/>
      <c r="C91" s="19"/>
      <c r="D91" s="29" t="s">
        <v>82</v>
      </c>
      <c r="E91" s="29" t="s">
        <v>82</v>
      </c>
      <c r="F91" s="29" t="s">
        <v>82</v>
      </c>
      <c r="G91" s="29" t="s">
        <v>82</v>
      </c>
      <c r="H91" s="29" t="s">
        <v>82</v>
      </c>
      <c r="I91" s="29" t="s">
        <v>82</v>
      </c>
      <c r="J91" s="29" t="s">
        <v>82</v>
      </c>
      <c r="K91" s="29" t="s">
        <v>82</v>
      </c>
      <c r="L91" s="29" t="s">
        <v>82</v>
      </c>
      <c r="M91" s="29" t="s">
        <v>82</v>
      </c>
      <c r="N91" s="29" t="s">
        <v>82</v>
      </c>
      <c r="O91" s="29" t="s">
        <v>82</v>
      </c>
      <c r="P91" s="29" t="s">
        <v>82</v>
      </c>
      <c r="Q91" s="29" t="s">
        <v>82</v>
      </c>
      <c r="R91" s="29" t="s">
        <v>82</v>
      </c>
      <c r="S91" s="29" t="s">
        <v>82</v>
      </c>
      <c r="T91" s="29" t="s">
        <v>82</v>
      </c>
      <c r="U91" s="29" t="s">
        <v>82</v>
      </c>
      <c r="V91" s="29" t="s">
        <v>82</v>
      </c>
      <c r="W91" s="29" t="s">
        <v>82</v>
      </c>
      <c r="X91" s="29" t="e">
        <f>VLOOKUP(#REF!,#REF!,2,0)</f>
        <v>#REF!</v>
      </c>
      <c r="Y91" s="29"/>
      <c r="Z91" s="29"/>
      <c r="AA91" s="19" t="s">
        <v>140</v>
      </c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9" t="str">
        <f t="shared" si="2"/>
        <v>Осмотреть путеочистители, оторванные кронштейны и угольники приварить, ослабшие болты закрепить.</v>
      </c>
      <c r="AR91" s="9"/>
    </row>
    <row r="92" spans="1:45" ht="51" customHeight="1" x14ac:dyDescent="0.35">
      <c r="A92" s="19">
        <v>6</v>
      </c>
      <c r="B92" s="19"/>
      <c r="C92" s="19"/>
      <c r="D92" s="29" t="s">
        <v>83</v>
      </c>
      <c r="E92" s="29" t="s">
        <v>83</v>
      </c>
      <c r="F92" s="29" t="s">
        <v>83</v>
      </c>
      <c r="G92" s="29" t="s">
        <v>83</v>
      </c>
      <c r="H92" s="29" t="s">
        <v>83</v>
      </c>
      <c r="I92" s="29" t="s">
        <v>83</v>
      </c>
      <c r="J92" s="29" t="s">
        <v>83</v>
      </c>
      <c r="K92" s="29" t="s">
        <v>83</v>
      </c>
      <c r="L92" s="29" t="s">
        <v>83</v>
      </c>
      <c r="M92" s="29" t="s">
        <v>83</v>
      </c>
      <c r="N92" s="29" t="s">
        <v>83</v>
      </c>
      <c r="O92" s="29" t="s">
        <v>83</v>
      </c>
      <c r="P92" s="29" t="s">
        <v>83</v>
      </c>
      <c r="Q92" s="29" t="s">
        <v>83</v>
      </c>
      <c r="R92" s="29" t="s">
        <v>83</v>
      </c>
      <c r="S92" s="29" t="s">
        <v>83</v>
      </c>
      <c r="T92" s="29" t="s">
        <v>83</v>
      </c>
      <c r="U92" s="29" t="s">
        <v>83</v>
      </c>
      <c r="V92" s="29" t="s">
        <v>83</v>
      </c>
      <c r="W92" s="29" t="s">
        <v>83</v>
      </c>
      <c r="X92" s="29" t="e">
        <f>VLOOKUP(#REF!,#REF!,2,0)</f>
        <v>#REF!</v>
      </c>
      <c r="Y92" s="29"/>
      <c r="Z92" s="29"/>
      <c r="AA92" s="19" t="s">
        <v>140</v>
      </c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9" t="str">
        <f t="shared" si="2"/>
        <v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v>
      </c>
      <c r="AR92" s="9"/>
    </row>
    <row r="93" spans="1:45" ht="25.5" customHeight="1" x14ac:dyDescent="0.35">
      <c r="A93" s="19">
        <v>7</v>
      </c>
      <c r="B93" s="19"/>
      <c r="C93" s="19"/>
      <c r="D93" s="29" t="s">
        <v>84</v>
      </c>
      <c r="E93" s="29" t="s">
        <v>84</v>
      </c>
      <c r="F93" s="29" t="s">
        <v>84</v>
      </c>
      <c r="G93" s="29" t="s">
        <v>84</v>
      </c>
      <c r="H93" s="29" t="s">
        <v>84</v>
      </c>
      <c r="I93" s="29" t="s">
        <v>84</v>
      </c>
      <c r="J93" s="29" t="s">
        <v>84</v>
      </c>
      <c r="K93" s="29" t="s">
        <v>84</v>
      </c>
      <c r="L93" s="29" t="s">
        <v>84</v>
      </c>
      <c r="M93" s="29" t="s">
        <v>84</v>
      </c>
      <c r="N93" s="29" t="s">
        <v>84</v>
      </c>
      <c r="O93" s="29" t="s">
        <v>84</v>
      </c>
      <c r="P93" s="29" t="s">
        <v>84</v>
      </c>
      <c r="Q93" s="29" t="s">
        <v>84</v>
      </c>
      <c r="R93" s="29" t="s">
        <v>84</v>
      </c>
      <c r="S93" s="29" t="s">
        <v>84</v>
      </c>
      <c r="T93" s="29" t="s">
        <v>84</v>
      </c>
      <c r="U93" s="29" t="s">
        <v>84</v>
      </c>
      <c r="V93" s="29" t="s">
        <v>84</v>
      </c>
      <c r="W93" s="29" t="s">
        <v>84</v>
      </c>
      <c r="X93" s="29" t="e">
        <f>VLOOKUP(#REF!,#REF!,2,0)</f>
        <v>#REF!</v>
      </c>
      <c r="Y93" s="29"/>
      <c r="Z93" s="29"/>
      <c r="AA93" s="19" t="s">
        <v>140</v>
      </c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9" t="str">
        <f t="shared" si="2"/>
        <v>Осмотреть состояние автосцепок и фрикционных аппаратов и проверить высоту автосцепок.</v>
      </c>
      <c r="AR93" s="9"/>
    </row>
    <row r="94" spans="1:45" ht="25.5" customHeight="1" x14ac:dyDescent="0.35">
      <c r="A94" s="19">
        <v>8</v>
      </c>
      <c r="B94" s="19"/>
      <c r="C94" s="19"/>
      <c r="D94" s="29" t="s">
        <v>85</v>
      </c>
      <c r="E94" s="29" t="s">
        <v>85</v>
      </c>
      <c r="F94" s="29" t="s">
        <v>85</v>
      </c>
      <c r="G94" s="29" t="s">
        <v>85</v>
      </c>
      <c r="H94" s="29" t="s">
        <v>85</v>
      </c>
      <c r="I94" s="29" t="s">
        <v>85</v>
      </c>
      <c r="J94" s="29" t="s">
        <v>85</v>
      </c>
      <c r="K94" s="29" t="s">
        <v>85</v>
      </c>
      <c r="L94" s="29" t="s">
        <v>85</v>
      </c>
      <c r="M94" s="29" t="s">
        <v>85</v>
      </c>
      <c r="N94" s="29" t="s">
        <v>85</v>
      </c>
      <c r="O94" s="29" t="s">
        <v>85</v>
      </c>
      <c r="P94" s="29" t="s">
        <v>85</v>
      </c>
      <c r="Q94" s="29" t="s">
        <v>85</v>
      </c>
      <c r="R94" s="29" t="s">
        <v>85</v>
      </c>
      <c r="S94" s="29" t="s">
        <v>85</v>
      </c>
      <c r="T94" s="29" t="s">
        <v>85</v>
      </c>
      <c r="U94" s="29" t="s">
        <v>85</v>
      </c>
      <c r="V94" s="29" t="s">
        <v>85</v>
      </c>
      <c r="W94" s="29" t="s">
        <v>85</v>
      </c>
      <c r="X94" s="29" t="e">
        <f>VLOOKUP(#REF!,#REF!,2,0)</f>
        <v>#REF!</v>
      </c>
      <c r="Y94" s="29"/>
      <c r="Z94" s="29"/>
      <c r="AA94" s="19" t="s">
        <v>140</v>
      </c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9" t="str">
        <f t="shared" si="2"/>
        <v>Проверить крепление кожухов зубчатых передач и уровень смазки в них. При необходимости добавить смазку.</v>
      </c>
      <c r="AR94" s="9"/>
    </row>
    <row r="95" spans="1:45" ht="25" customHeight="1" x14ac:dyDescent="0.35">
      <c r="A95" s="37" t="s">
        <v>57</v>
      </c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9">
        <f t="shared" si="2"/>
        <v>0</v>
      </c>
      <c r="AR95" s="9"/>
    </row>
    <row r="96" spans="1:45" ht="9" customHeight="1" x14ac:dyDescent="0.35">
      <c r="AQ96" s="9">
        <f t="shared" si="2"/>
        <v>0</v>
      </c>
      <c r="AR96" s="9"/>
    </row>
    <row r="97" spans="1:45" ht="15" customHeight="1" x14ac:dyDescent="0.35">
      <c r="A97" s="31" t="s">
        <v>86</v>
      </c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9">
        <f t="shared" si="2"/>
        <v>0</v>
      </c>
      <c r="AR97" s="9"/>
    </row>
    <row r="98" spans="1:45" ht="63.75" customHeight="1" x14ac:dyDescent="0.35">
      <c r="A98" s="19">
        <v>1</v>
      </c>
      <c r="B98" s="19"/>
      <c r="C98" s="19"/>
      <c r="D98" s="29" t="s">
        <v>87</v>
      </c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41" t="s">
        <v>138</v>
      </c>
      <c r="AB98" s="42"/>
      <c r="AC98" s="42"/>
      <c r="AD98" s="42"/>
      <c r="AE98" s="42"/>
      <c r="AF98" s="42"/>
      <c r="AG98" s="42"/>
      <c r="AH98" s="43"/>
      <c r="AI98" s="19"/>
      <c r="AJ98" s="19"/>
      <c r="AK98" s="19"/>
      <c r="AL98" s="19"/>
      <c r="AM98" s="19"/>
      <c r="AN98" s="19"/>
      <c r="AO98" s="19"/>
      <c r="AP98" s="19"/>
      <c r="AQ98" s="9" t="str">
        <f t="shared" si="2"/>
        <v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v>
      </c>
      <c r="AR98" s="9"/>
      <c r="AS98" s="10"/>
    </row>
    <row r="99" spans="1:45" ht="38.25" customHeight="1" x14ac:dyDescent="0.35">
      <c r="A99" s="19">
        <v>2</v>
      </c>
      <c r="B99" s="19"/>
      <c r="C99" s="19"/>
      <c r="D99" s="29" t="s">
        <v>88</v>
      </c>
      <c r="E99" s="29" t="s">
        <v>88</v>
      </c>
      <c r="F99" s="29" t="s">
        <v>88</v>
      </c>
      <c r="G99" s="29" t="s">
        <v>88</v>
      </c>
      <c r="H99" s="29" t="s">
        <v>88</v>
      </c>
      <c r="I99" s="29" t="s">
        <v>88</v>
      </c>
      <c r="J99" s="29" t="s">
        <v>88</v>
      </c>
      <c r="K99" s="29" t="s">
        <v>88</v>
      </c>
      <c r="L99" s="29" t="s">
        <v>88</v>
      </c>
      <c r="M99" s="29" t="s">
        <v>88</v>
      </c>
      <c r="N99" s="29" t="s">
        <v>88</v>
      </c>
      <c r="O99" s="29" t="s">
        <v>88</v>
      </c>
      <c r="P99" s="29" t="s">
        <v>88</v>
      </c>
      <c r="Q99" s="29" t="s">
        <v>88</v>
      </c>
      <c r="R99" s="29" t="s">
        <v>88</v>
      </c>
      <c r="S99" s="29" t="s">
        <v>88</v>
      </c>
      <c r="T99" s="29" t="s">
        <v>88</v>
      </c>
      <c r="U99" s="29" t="s">
        <v>88</v>
      </c>
      <c r="V99" s="29" t="s">
        <v>88</v>
      </c>
      <c r="W99" s="29" t="s">
        <v>88</v>
      </c>
      <c r="X99" s="29" t="s">
        <v>88</v>
      </c>
      <c r="Y99" s="29" t="s">
        <v>88</v>
      </c>
      <c r="Z99" s="29" t="s">
        <v>88</v>
      </c>
      <c r="AA99" s="41" t="s">
        <v>138</v>
      </c>
      <c r="AB99" s="42"/>
      <c r="AC99" s="42"/>
      <c r="AD99" s="42"/>
      <c r="AE99" s="42"/>
      <c r="AF99" s="42"/>
      <c r="AG99" s="42"/>
      <c r="AH99" s="43"/>
      <c r="AI99" s="19"/>
      <c r="AJ99" s="19"/>
      <c r="AK99" s="19"/>
      <c r="AL99" s="19"/>
      <c r="AM99" s="19"/>
      <c r="AN99" s="19"/>
      <c r="AO99" s="19"/>
      <c r="AP99" s="19"/>
      <c r="AQ99" s="9" t="str">
        <f t="shared" si="2"/>
        <v>Произвести контрольный осмотр компрессора и проверить его крепление. Состояние муфтового соединения, очистить фильтры.</v>
      </c>
      <c r="AR99" s="9"/>
    </row>
    <row r="100" spans="1:45" ht="25.5" customHeight="1" x14ac:dyDescent="0.35">
      <c r="A100" s="19">
        <v>3</v>
      </c>
      <c r="B100" s="19"/>
      <c r="C100" s="19"/>
      <c r="D100" s="29" t="s">
        <v>89</v>
      </c>
      <c r="E100" s="29" t="s">
        <v>89</v>
      </c>
      <c r="F100" s="29" t="s">
        <v>89</v>
      </c>
      <c r="G100" s="29" t="s">
        <v>89</v>
      </c>
      <c r="H100" s="29" t="s">
        <v>89</v>
      </c>
      <c r="I100" s="29" t="s">
        <v>89</v>
      </c>
      <c r="J100" s="29" t="s">
        <v>89</v>
      </c>
      <c r="K100" s="29" t="s">
        <v>89</v>
      </c>
      <c r="L100" s="29" t="s">
        <v>89</v>
      </c>
      <c r="M100" s="29" t="s">
        <v>89</v>
      </c>
      <c r="N100" s="29" t="s">
        <v>89</v>
      </c>
      <c r="O100" s="29" t="s">
        <v>89</v>
      </c>
      <c r="P100" s="29" t="s">
        <v>89</v>
      </c>
      <c r="Q100" s="29" t="s">
        <v>89</v>
      </c>
      <c r="R100" s="29" t="s">
        <v>89</v>
      </c>
      <c r="S100" s="29" t="s">
        <v>89</v>
      </c>
      <c r="T100" s="29" t="s">
        <v>89</v>
      </c>
      <c r="U100" s="29" t="s">
        <v>89</v>
      </c>
      <c r="V100" s="29" t="s">
        <v>89</v>
      </c>
      <c r="W100" s="29" t="s">
        <v>89</v>
      </c>
      <c r="X100" s="29" t="s">
        <v>89</v>
      </c>
      <c r="Y100" s="29" t="s">
        <v>89</v>
      </c>
      <c r="Z100" s="29" t="s">
        <v>89</v>
      </c>
      <c r="AA100" s="41" t="s">
        <v>138</v>
      </c>
      <c r="AB100" s="42"/>
      <c r="AC100" s="42"/>
      <c r="AD100" s="42"/>
      <c r="AE100" s="42"/>
      <c r="AF100" s="42"/>
      <c r="AG100" s="42"/>
      <c r="AH100" s="43"/>
      <c r="AI100" s="19"/>
      <c r="AJ100" s="19"/>
      <c r="AK100" s="19"/>
      <c r="AL100" s="19"/>
      <c r="AM100" s="19"/>
      <c r="AN100" s="19"/>
      <c r="AO100" s="19"/>
      <c r="AP100" s="19"/>
      <c r="AQ100" s="9" t="str">
        <f t="shared" si="2"/>
        <v>Автотормозное и пневмооборудование осмотреть согласно технологии.</v>
      </c>
      <c r="AR100" s="9"/>
    </row>
    <row r="101" spans="1:45" ht="25.5" customHeight="1" x14ac:dyDescent="0.35">
      <c r="A101" s="19">
        <v>4</v>
      </c>
      <c r="B101" s="19"/>
      <c r="C101" s="19"/>
      <c r="D101" s="29" t="s">
        <v>90</v>
      </c>
      <c r="E101" s="29" t="s">
        <v>90</v>
      </c>
      <c r="F101" s="29" t="s">
        <v>90</v>
      </c>
      <c r="G101" s="29" t="s">
        <v>90</v>
      </c>
      <c r="H101" s="29" t="s">
        <v>90</v>
      </c>
      <c r="I101" s="29" t="s">
        <v>90</v>
      </c>
      <c r="J101" s="29" t="s">
        <v>90</v>
      </c>
      <c r="K101" s="29" t="s">
        <v>90</v>
      </c>
      <c r="L101" s="29" t="s">
        <v>90</v>
      </c>
      <c r="M101" s="29" t="s">
        <v>90</v>
      </c>
      <c r="N101" s="29" t="s">
        <v>90</v>
      </c>
      <c r="O101" s="29" t="s">
        <v>90</v>
      </c>
      <c r="P101" s="29" t="s">
        <v>90</v>
      </c>
      <c r="Q101" s="29" t="s">
        <v>90</v>
      </c>
      <c r="R101" s="29" t="s">
        <v>90</v>
      </c>
      <c r="S101" s="29" t="s">
        <v>90</v>
      </c>
      <c r="T101" s="29" t="s">
        <v>90</v>
      </c>
      <c r="U101" s="29" t="s">
        <v>90</v>
      </c>
      <c r="V101" s="29" t="s">
        <v>90</v>
      </c>
      <c r="W101" s="29" t="s">
        <v>90</v>
      </c>
      <c r="X101" s="29" t="s">
        <v>90</v>
      </c>
      <c r="Y101" s="29" t="s">
        <v>90</v>
      </c>
      <c r="Z101" s="29" t="s">
        <v>90</v>
      </c>
      <c r="AA101" s="19" t="s">
        <v>139</v>
      </c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9" t="str">
        <f t="shared" si="2"/>
        <v>Проверить состояние песочных бункеров, песочных труб. Отрегулировать подачу песка и установку насадок из шланга.</v>
      </c>
      <c r="AR101" s="9"/>
    </row>
    <row r="102" spans="1:45" ht="25.5" customHeight="1" x14ac:dyDescent="0.35">
      <c r="A102" s="19">
        <v>5</v>
      </c>
      <c r="B102" s="19"/>
      <c r="C102" s="19"/>
      <c r="D102" s="29" t="s">
        <v>91</v>
      </c>
      <c r="E102" s="29" t="s">
        <v>91</v>
      </c>
      <c r="F102" s="29" t="s">
        <v>91</v>
      </c>
      <c r="G102" s="29" t="s">
        <v>91</v>
      </c>
      <c r="H102" s="29" t="s">
        <v>91</v>
      </c>
      <c r="I102" s="29" t="s">
        <v>91</v>
      </c>
      <c r="J102" s="29" t="s">
        <v>91</v>
      </c>
      <c r="K102" s="29" t="s">
        <v>91</v>
      </c>
      <c r="L102" s="29" t="s">
        <v>91</v>
      </c>
      <c r="M102" s="29" t="s">
        <v>91</v>
      </c>
      <c r="N102" s="29" t="s">
        <v>91</v>
      </c>
      <c r="O102" s="29" t="s">
        <v>91</v>
      </c>
      <c r="P102" s="29" t="s">
        <v>91</v>
      </c>
      <c r="Q102" s="29" t="s">
        <v>91</v>
      </c>
      <c r="R102" s="29" t="s">
        <v>91</v>
      </c>
      <c r="S102" s="29" t="s">
        <v>91</v>
      </c>
      <c r="T102" s="29" t="s">
        <v>91</v>
      </c>
      <c r="U102" s="29" t="s">
        <v>91</v>
      </c>
      <c r="V102" s="29" t="s">
        <v>91</v>
      </c>
      <c r="W102" s="29" t="s">
        <v>91</v>
      </c>
      <c r="X102" s="29" t="s">
        <v>91</v>
      </c>
      <c r="Y102" s="29" t="s">
        <v>91</v>
      </c>
      <c r="Z102" s="29" t="s">
        <v>91</v>
      </c>
      <c r="AA102" s="41" t="s">
        <v>138</v>
      </c>
      <c r="AB102" s="42"/>
      <c r="AC102" s="42"/>
      <c r="AD102" s="42"/>
      <c r="AE102" s="42"/>
      <c r="AF102" s="42"/>
      <c r="AG102" s="42"/>
      <c r="AH102" s="43"/>
      <c r="AI102" s="19"/>
      <c r="AJ102" s="19"/>
      <c r="AK102" s="19"/>
      <c r="AL102" s="19"/>
      <c r="AM102" s="19"/>
      <c r="AN102" s="19"/>
      <c r="AO102" s="19"/>
      <c r="AP102" s="19"/>
      <c r="AQ102" s="9" t="str">
        <f t="shared" si="2"/>
        <v>После запуска дизеля проверить: работу компрессора, плотность тормозной и воздушной сети, правильность регулировки КМ.</v>
      </c>
      <c r="AR102" s="9"/>
    </row>
    <row r="103" spans="1:45" ht="25" customHeight="1" x14ac:dyDescent="0.35">
      <c r="A103" s="23">
        <v>6</v>
      </c>
      <c r="B103" s="23"/>
      <c r="C103" s="23"/>
      <c r="D103" s="40" t="s">
        <v>92</v>
      </c>
      <c r="E103" s="40" t="s">
        <v>93</v>
      </c>
      <c r="F103" s="40" t="s">
        <v>93</v>
      </c>
      <c r="G103" s="40" t="s">
        <v>93</v>
      </c>
      <c r="H103" s="40" t="s">
        <v>93</v>
      </c>
      <c r="I103" s="40" t="s">
        <v>93</v>
      </c>
      <c r="J103" s="40" t="s">
        <v>93</v>
      </c>
      <c r="K103" s="40" t="s">
        <v>93</v>
      </c>
      <c r="L103" s="40" t="s">
        <v>93</v>
      </c>
      <c r="M103" s="40" t="s">
        <v>93</v>
      </c>
      <c r="N103" s="40" t="s">
        <v>93</v>
      </c>
      <c r="O103" s="40" t="s">
        <v>93</v>
      </c>
      <c r="P103" s="40" t="s">
        <v>93</v>
      </c>
      <c r="Q103" s="40" t="s">
        <v>93</v>
      </c>
      <c r="R103" s="40" t="s">
        <v>93</v>
      </c>
      <c r="S103" s="40" t="s">
        <v>93</v>
      </c>
      <c r="T103" s="40" t="s">
        <v>93</v>
      </c>
      <c r="U103" s="40" t="s">
        <v>93</v>
      </c>
      <c r="V103" s="40" t="s">
        <v>93</v>
      </c>
      <c r="W103" s="40" t="s">
        <v>93</v>
      </c>
      <c r="X103" s="40" t="s">
        <v>93</v>
      </c>
      <c r="Y103" s="40" t="s">
        <v>93</v>
      </c>
      <c r="Z103" s="40" t="s">
        <v>93</v>
      </c>
      <c r="AA103" s="41" t="s">
        <v>138</v>
      </c>
      <c r="AB103" s="42"/>
      <c r="AC103" s="42"/>
      <c r="AD103" s="42"/>
      <c r="AE103" s="42"/>
      <c r="AF103" s="42"/>
      <c r="AG103" s="42"/>
      <c r="AH103" s="43"/>
      <c r="AI103" s="19"/>
      <c r="AJ103" s="19"/>
      <c r="AK103" s="19"/>
      <c r="AL103" s="19"/>
      <c r="AM103" s="19"/>
      <c r="AN103" s="19"/>
      <c r="AO103" s="19"/>
      <c r="AP103" s="19"/>
      <c r="AQ103" s="9" t="str">
        <f t="shared" si="2"/>
        <v>Испытание автотормозов согласно инструкции  2837р.</v>
      </c>
      <c r="AR103" s="9"/>
    </row>
    <row r="104" spans="1:45" ht="21.75" customHeight="1" x14ac:dyDescent="0.35">
      <c r="A104" s="37" t="s">
        <v>57</v>
      </c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9">
        <f t="shared" si="2"/>
        <v>0</v>
      </c>
      <c r="AR104" s="9"/>
    </row>
    <row r="105" spans="1:45" ht="9.75" customHeight="1" x14ac:dyDescent="0.35">
      <c r="AQ105" s="9">
        <f t="shared" si="2"/>
        <v>0</v>
      </c>
      <c r="AR105" s="9"/>
      <c r="AS105" s="10"/>
    </row>
    <row r="106" spans="1:45" x14ac:dyDescent="0.35">
      <c r="A106" s="31" t="s">
        <v>94</v>
      </c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9">
        <f t="shared" si="2"/>
        <v>0</v>
      </c>
      <c r="AR106" s="9"/>
    </row>
    <row r="107" spans="1:45" ht="25.5" customHeight="1" x14ac:dyDescent="0.35">
      <c r="A107" s="19">
        <v>1</v>
      </c>
      <c r="B107" s="19"/>
      <c r="C107" s="19"/>
      <c r="D107" s="29" t="s">
        <v>95</v>
      </c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19" t="s">
        <v>137</v>
      </c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9" t="str">
        <f t="shared" si="2"/>
        <v>Проверить надежность крепления и состояние скоростемера или комплекса КПД-3П</v>
      </c>
      <c r="AR107" s="9"/>
    </row>
    <row r="108" spans="1:45" ht="25.5" customHeight="1" x14ac:dyDescent="0.35">
      <c r="A108" s="19">
        <v>2</v>
      </c>
      <c r="B108" s="19"/>
      <c r="C108" s="19"/>
      <c r="D108" s="29" t="s">
        <v>96</v>
      </c>
      <c r="E108" s="29" t="s">
        <v>96</v>
      </c>
      <c r="F108" s="29" t="s">
        <v>96</v>
      </c>
      <c r="G108" s="29" t="s">
        <v>96</v>
      </c>
      <c r="H108" s="29" t="s">
        <v>96</v>
      </c>
      <c r="I108" s="29" t="s">
        <v>96</v>
      </c>
      <c r="J108" s="29" t="s">
        <v>96</v>
      </c>
      <c r="K108" s="29" t="s">
        <v>96</v>
      </c>
      <c r="L108" s="29" t="s">
        <v>96</v>
      </c>
      <c r="M108" s="29" t="s">
        <v>96</v>
      </c>
      <c r="N108" s="29" t="s">
        <v>96</v>
      </c>
      <c r="O108" s="29" t="s">
        <v>96</v>
      </c>
      <c r="P108" s="29" t="s">
        <v>96</v>
      </c>
      <c r="Q108" s="29" t="s">
        <v>96</v>
      </c>
      <c r="R108" s="29" t="s">
        <v>96</v>
      </c>
      <c r="S108" s="29" t="s">
        <v>96</v>
      </c>
      <c r="T108" s="29" t="s">
        <v>96</v>
      </c>
      <c r="U108" s="29" t="s">
        <v>96</v>
      </c>
      <c r="V108" s="29" t="s">
        <v>96</v>
      </c>
      <c r="W108" s="29" t="s">
        <v>96</v>
      </c>
      <c r="X108" s="29" t="s">
        <v>96</v>
      </c>
      <c r="Y108" s="29" t="s">
        <v>96</v>
      </c>
      <c r="Z108" s="29" t="s">
        <v>96</v>
      </c>
      <c r="AA108" s="19" t="s">
        <v>137</v>
      </c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9" t="str">
        <f t="shared" si="2"/>
        <v>Провести ревизию привода скоростемера или осмотреть датчик Л178 комплекса КПД-3П</v>
      </c>
      <c r="AR108" s="9"/>
    </row>
    <row r="109" spans="1:45" ht="25" customHeight="1" x14ac:dyDescent="0.35">
      <c r="A109" s="19">
        <v>3</v>
      </c>
      <c r="B109" s="19"/>
      <c r="C109" s="19"/>
      <c r="D109" s="29" t="s">
        <v>97</v>
      </c>
      <c r="E109" s="29" t="s">
        <v>97</v>
      </c>
      <c r="F109" s="29" t="s">
        <v>97</v>
      </c>
      <c r="G109" s="29" t="s">
        <v>97</v>
      </c>
      <c r="H109" s="29" t="s">
        <v>97</v>
      </c>
      <c r="I109" s="29" t="s">
        <v>97</v>
      </c>
      <c r="J109" s="29" t="s">
        <v>97</v>
      </c>
      <c r="K109" s="29" t="s">
        <v>97</v>
      </c>
      <c r="L109" s="29" t="s">
        <v>97</v>
      </c>
      <c r="M109" s="29" t="s">
        <v>97</v>
      </c>
      <c r="N109" s="29" t="s">
        <v>97</v>
      </c>
      <c r="O109" s="29" t="s">
        <v>97</v>
      </c>
      <c r="P109" s="29" t="s">
        <v>97</v>
      </c>
      <c r="Q109" s="29" t="s">
        <v>97</v>
      </c>
      <c r="R109" s="29" t="s">
        <v>97</v>
      </c>
      <c r="S109" s="29" t="s">
        <v>97</v>
      </c>
      <c r="T109" s="29" t="s">
        <v>97</v>
      </c>
      <c r="U109" s="29" t="s">
        <v>97</v>
      </c>
      <c r="V109" s="29" t="s">
        <v>97</v>
      </c>
      <c r="W109" s="29" t="s">
        <v>97</v>
      </c>
      <c r="X109" s="29" t="s">
        <v>97</v>
      </c>
      <c r="Y109" s="29" t="s">
        <v>97</v>
      </c>
      <c r="Z109" s="29" t="s">
        <v>97</v>
      </c>
      <c r="AA109" s="19" t="s">
        <v>137</v>
      </c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9" t="str">
        <f t="shared" si="2"/>
        <v>После запуска дизеля проверить работу КИП.</v>
      </c>
      <c r="AR109" s="9"/>
    </row>
    <row r="110" spans="1:45" ht="25" customHeight="1" x14ac:dyDescent="0.35">
      <c r="A110" s="19">
        <v>4</v>
      </c>
      <c r="B110" s="19"/>
      <c r="C110" s="19"/>
      <c r="D110" s="29" t="s">
        <v>98</v>
      </c>
      <c r="E110" s="29" t="s">
        <v>98</v>
      </c>
      <c r="F110" s="29" t="s">
        <v>98</v>
      </c>
      <c r="G110" s="29" t="s">
        <v>98</v>
      </c>
      <c r="H110" s="29" t="s">
        <v>98</v>
      </c>
      <c r="I110" s="29" t="s">
        <v>98</v>
      </c>
      <c r="J110" s="29" t="s">
        <v>98</v>
      </c>
      <c r="K110" s="29" t="s">
        <v>98</v>
      </c>
      <c r="L110" s="29" t="s">
        <v>98</v>
      </c>
      <c r="M110" s="29" t="s">
        <v>98</v>
      </c>
      <c r="N110" s="29" t="s">
        <v>98</v>
      </c>
      <c r="O110" s="29" t="s">
        <v>98</v>
      </c>
      <c r="P110" s="29" t="s">
        <v>98</v>
      </c>
      <c r="Q110" s="29" t="s">
        <v>98</v>
      </c>
      <c r="R110" s="29" t="s">
        <v>98</v>
      </c>
      <c r="S110" s="29" t="s">
        <v>98</v>
      </c>
      <c r="T110" s="29" t="s">
        <v>98</v>
      </c>
      <c r="U110" s="29" t="s">
        <v>98</v>
      </c>
      <c r="V110" s="29" t="s">
        <v>98</v>
      </c>
      <c r="W110" s="29" t="s">
        <v>98</v>
      </c>
      <c r="X110" s="29" t="s">
        <v>98</v>
      </c>
      <c r="Y110" s="29" t="s">
        <v>98</v>
      </c>
      <c r="Z110" s="29" t="s">
        <v>98</v>
      </c>
      <c r="AA110" s="19" t="s">
        <v>137</v>
      </c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9" t="str">
        <f t="shared" si="2"/>
        <v>Проверить состояние антенн и крепления блоков радиостанции.</v>
      </c>
      <c r="AR110" s="9"/>
    </row>
    <row r="111" spans="1:45" ht="25" customHeight="1" x14ac:dyDescent="0.35">
      <c r="A111" s="37" t="s">
        <v>57</v>
      </c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9">
        <f t="shared" si="2"/>
        <v>0</v>
      </c>
      <c r="AR111" s="9"/>
      <c r="AS111" s="10"/>
    </row>
    <row r="112" spans="1:45" x14ac:dyDescent="0.35">
      <c r="AQ112" s="9">
        <f t="shared" si="2"/>
        <v>0</v>
      </c>
      <c r="AR112" s="9"/>
    </row>
    <row r="113" spans="1:45" x14ac:dyDescent="0.35">
      <c r="A113" s="22" t="s">
        <v>99</v>
      </c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9">
        <f t="shared" si="2"/>
        <v>0</v>
      </c>
      <c r="AR113" s="9"/>
    </row>
    <row r="114" spans="1:45" ht="51" customHeight="1" x14ac:dyDescent="0.35">
      <c r="A114" s="19">
        <v>1</v>
      </c>
      <c r="B114" s="19"/>
      <c r="C114" s="19"/>
      <c r="D114" s="29" t="s">
        <v>100</v>
      </c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19" t="s">
        <v>137</v>
      </c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9" t="str">
        <f t="shared" si="2"/>
        <v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v>
      </c>
      <c r="AR114" s="9"/>
    </row>
    <row r="115" spans="1:45" ht="25" customHeight="1" x14ac:dyDescent="0.35">
      <c r="A115" s="19">
        <v>2</v>
      </c>
      <c r="B115" s="19"/>
      <c r="C115" s="19"/>
      <c r="D115" s="29" t="s">
        <v>101</v>
      </c>
      <c r="E115" s="29" t="s">
        <v>101</v>
      </c>
      <c r="F115" s="29" t="s">
        <v>101</v>
      </c>
      <c r="G115" s="29" t="s">
        <v>101</v>
      </c>
      <c r="H115" s="29" t="s">
        <v>101</v>
      </c>
      <c r="I115" s="29" t="s">
        <v>101</v>
      </c>
      <c r="J115" s="29" t="s">
        <v>101</v>
      </c>
      <c r="K115" s="29" t="s">
        <v>101</v>
      </c>
      <c r="L115" s="29" t="s">
        <v>101</v>
      </c>
      <c r="M115" s="29" t="s">
        <v>101</v>
      </c>
      <c r="N115" s="29" t="s">
        <v>101</v>
      </c>
      <c r="O115" s="29" t="s">
        <v>101</v>
      </c>
      <c r="P115" s="29" t="s">
        <v>101</v>
      </c>
      <c r="Q115" s="29" t="s">
        <v>101</v>
      </c>
      <c r="R115" s="29" t="s">
        <v>101</v>
      </c>
      <c r="S115" s="29" t="s">
        <v>101</v>
      </c>
      <c r="T115" s="29" t="s">
        <v>101</v>
      </c>
      <c r="U115" s="29" t="s">
        <v>101</v>
      </c>
      <c r="V115" s="29" t="s">
        <v>101</v>
      </c>
      <c r="W115" s="29" t="s">
        <v>101</v>
      </c>
      <c r="X115" s="29" t="s">
        <v>101</v>
      </c>
      <c r="Y115" s="29" t="s">
        <v>101</v>
      </c>
      <c r="Z115" s="29" t="s">
        <v>101</v>
      </c>
      <c r="AA115" s="19" t="s">
        <v>137</v>
      </c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9" t="str">
        <f t="shared" si="2"/>
        <v>Произвести ревизию эл. монтажа АЛСН.</v>
      </c>
      <c r="AR115" s="9"/>
      <c r="AS115" s="10"/>
    </row>
    <row r="116" spans="1:45" ht="37.299999999999997" x14ac:dyDescent="0.35">
      <c r="A116" s="19">
        <v>3</v>
      </c>
      <c r="B116" s="19"/>
      <c r="C116" s="19"/>
      <c r="D116" s="29" t="s">
        <v>102</v>
      </c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19" t="s">
        <v>137</v>
      </c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9" t="str">
        <f t="shared" si="2"/>
        <v>Измерить высоту приемных катушек, мм.
Передние__________        Задние___________</v>
      </c>
      <c r="AR116" s="9"/>
    </row>
    <row r="117" spans="1:45" x14ac:dyDescent="0.35">
      <c r="A117" s="37" t="s">
        <v>57</v>
      </c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9">
        <f t="shared" si="2"/>
        <v>0</v>
      </c>
      <c r="AR117" s="9"/>
    </row>
    <row r="118" spans="1:45" x14ac:dyDescent="0.35">
      <c r="AQ118" s="9">
        <f t="shared" si="2"/>
        <v>0</v>
      </c>
      <c r="AR118" s="9"/>
    </row>
    <row r="119" spans="1:45" x14ac:dyDescent="0.35">
      <c r="A119" s="31" t="s">
        <v>103</v>
      </c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9">
        <f t="shared" si="2"/>
        <v>0</v>
      </c>
      <c r="AR119" s="9"/>
    </row>
    <row r="120" spans="1:45" ht="51" customHeight="1" x14ac:dyDescent="0.35">
      <c r="A120" s="19">
        <v>1</v>
      </c>
      <c r="B120" s="19"/>
      <c r="C120" s="19"/>
      <c r="D120" s="29" t="s">
        <v>104</v>
      </c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19" t="s">
        <v>137</v>
      </c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9" t="str">
        <f t="shared" si="2"/>
        <v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v>
      </c>
      <c r="AR120" s="9"/>
    </row>
    <row r="121" spans="1:45" ht="25" customHeight="1" x14ac:dyDescent="0.35">
      <c r="A121" s="37" t="s">
        <v>57</v>
      </c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9">
        <f t="shared" si="2"/>
        <v>0</v>
      </c>
      <c r="AR121" s="9"/>
    </row>
    <row r="122" spans="1:45" x14ac:dyDescent="0.35">
      <c r="AQ122" s="9">
        <f t="shared" si="2"/>
        <v>0</v>
      </c>
      <c r="AR122" s="9"/>
    </row>
    <row r="123" spans="1:45" x14ac:dyDescent="0.35">
      <c r="A123" s="22" t="s">
        <v>105</v>
      </c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9">
        <f t="shared" si="2"/>
        <v>0</v>
      </c>
      <c r="AR123" s="9"/>
    </row>
    <row r="124" spans="1:45" ht="33" customHeight="1" x14ac:dyDescent="0.35">
      <c r="A124" s="30"/>
      <c r="B124" s="30"/>
      <c r="C124" s="19" t="s">
        <v>106</v>
      </c>
      <c r="D124" s="19"/>
      <c r="E124" s="19"/>
      <c r="F124" s="19"/>
      <c r="G124" s="19"/>
      <c r="H124" s="19"/>
      <c r="I124" s="19"/>
      <c r="J124" s="19"/>
      <c r="K124" s="19" t="s">
        <v>107</v>
      </c>
      <c r="L124" s="19"/>
      <c r="M124" s="19"/>
      <c r="N124" s="19"/>
      <c r="O124" s="19"/>
      <c r="P124" s="19"/>
      <c r="Q124" s="19"/>
      <c r="R124" s="19"/>
      <c r="S124" s="19" t="s">
        <v>108</v>
      </c>
      <c r="T124" s="19"/>
      <c r="U124" s="19"/>
      <c r="V124" s="19"/>
      <c r="W124" s="19"/>
      <c r="X124" s="19"/>
      <c r="Y124" s="19"/>
      <c r="Z124" s="19"/>
      <c r="AA124" s="19" t="s">
        <v>109</v>
      </c>
      <c r="AB124" s="19"/>
      <c r="AC124" s="19"/>
      <c r="AD124" s="19"/>
      <c r="AE124" s="19"/>
      <c r="AF124" s="19"/>
      <c r="AG124" s="19"/>
      <c r="AH124" s="19"/>
      <c r="AI124" s="19" t="s">
        <v>110</v>
      </c>
      <c r="AJ124" s="19"/>
      <c r="AK124" s="19"/>
      <c r="AL124" s="19"/>
      <c r="AM124" s="19"/>
      <c r="AN124" s="19"/>
      <c r="AO124" s="19"/>
      <c r="AP124" s="19"/>
      <c r="AQ124" s="9">
        <f t="shared" si="2"/>
        <v>0</v>
      </c>
      <c r="AR124" s="9"/>
    </row>
    <row r="125" spans="1:45" ht="17.25" customHeight="1" x14ac:dyDescent="0.35">
      <c r="A125" s="30"/>
      <c r="B125" s="30"/>
      <c r="C125" s="19" t="s">
        <v>111</v>
      </c>
      <c r="D125" s="19"/>
      <c r="E125" s="19"/>
      <c r="F125" s="19"/>
      <c r="G125" s="19" t="s">
        <v>112</v>
      </c>
      <c r="H125" s="19"/>
      <c r="I125" s="19"/>
      <c r="J125" s="19"/>
      <c r="K125" s="19" t="s">
        <v>111</v>
      </c>
      <c r="L125" s="19"/>
      <c r="M125" s="19"/>
      <c r="N125" s="19"/>
      <c r="O125" s="19" t="s">
        <v>112</v>
      </c>
      <c r="P125" s="19"/>
      <c r="Q125" s="19"/>
      <c r="R125" s="19"/>
      <c r="S125" s="19" t="s">
        <v>111</v>
      </c>
      <c r="T125" s="19"/>
      <c r="U125" s="19"/>
      <c r="V125" s="19"/>
      <c r="W125" s="19" t="s">
        <v>112</v>
      </c>
      <c r="X125" s="19"/>
      <c r="Y125" s="19"/>
      <c r="Z125" s="19"/>
      <c r="AA125" s="19" t="s">
        <v>111</v>
      </c>
      <c r="AB125" s="19"/>
      <c r="AC125" s="19"/>
      <c r="AD125" s="19"/>
      <c r="AE125" s="19" t="s">
        <v>112</v>
      </c>
      <c r="AF125" s="19"/>
      <c r="AG125" s="19"/>
      <c r="AH125" s="19"/>
      <c r="AI125" s="19" t="s">
        <v>111</v>
      </c>
      <c r="AJ125" s="19"/>
      <c r="AK125" s="19"/>
      <c r="AL125" s="19"/>
      <c r="AM125" s="19" t="s">
        <v>112</v>
      </c>
      <c r="AN125" s="19"/>
      <c r="AO125" s="19"/>
      <c r="AP125" s="19"/>
      <c r="AQ125" s="9">
        <f t="shared" si="2"/>
        <v>0</v>
      </c>
      <c r="AR125" s="9"/>
      <c r="AS125" s="10"/>
    </row>
    <row r="126" spans="1:45" ht="20.149999999999999" customHeight="1" x14ac:dyDescent="0.35">
      <c r="A126" s="44">
        <v>1</v>
      </c>
      <c r="B126" s="44"/>
      <c r="C126" s="19" t="s">
        <v>143</v>
      </c>
      <c r="D126" s="19"/>
      <c r="E126" s="19"/>
      <c r="F126" s="19"/>
      <c r="G126" s="19" t="s">
        <v>144</v>
      </c>
      <c r="H126" s="19"/>
      <c r="I126" s="19"/>
      <c r="J126" s="19"/>
      <c r="K126" s="19" t="s">
        <v>145</v>
      </c>
      <c r="L126" s="19"/>
      <c r="M126" s="19"/>
      <c r="N126" s="19"/>
      <c r="O126" s="19" t="s">
        <v>146</v>
      </c>
      <c r="P126" s="19"/>
      <c r="Q126" s="19"/>
      <c r="R126" s="19"/>
      <c r="S126" s="19" t="s">
        <v>147</v>
      </c>
      <c r="T126" s="19"/>
      <c r="U126" s="19"/>
      <c r="V126" s="19"/>
      <c r="W126" s="19" t="s">
        <v>148</v>
      </c>
      <c r="X126" s="19"/>
      <c r="Y126" s="19"/>
      <c r="Z126" s="19"/>
      <c r="AA126" s="19" t="s">
        <v>149</v>
      </c>
      <c r="AB126" s="19"/>
      <c r="AC126" s="19"/>
      <c r="AD126" s="19"/>
      <c r="AE126" s="19" t="s">
        <v>150</v>
      </c>
      <c r="AF126" s="19"/>
      <c r="AG126" s="19"/>
      <c r="AH126" s="19"/>
      <c r="AI126" s="45" t="s">
        <v>151</v>
      </c>
      <c r="AJ126" s="45"/>
      <c r="AK126" s="45"/>
      <c r="AL126" s="45"/>
      <c r="AM126" s="45" t="s">
        <v>152</v>
      </c>
      <c r="AN126" s="45"/>
      <c r="AO126" s="45"/>
      <c r="AP126" s="45"/>
      <c r="AQ126" s="9">
        <f t="shared" si="2"/>
        <v>0</v>
      </c>
      <c r="AS126" s="10"/>
    </row>
    <row r="127" spans="1:45" ht="20.149999999999999" customHeight="1" x14ac:dyDescent="0.35">
      <c r="A127" s="44">
        <v>2</v>
      </c>
      <c r="B127" s="44"/>
      <c r="C127" s="19" t="s">
        <v>153</v>
      </c>
      <c r="D127" s="19"/>
      <c r="E127" s="19"/>
      <c r="F127" s="19"/>
      <c r="G127" s="19" t="s">
        <v>158</v>
      </c>
      <c r="H127" s="19"/>
      <c r="I127" s="19"/>
      <c r="J127" s="19"/>
      <c r="K127" s="19" t="s">
        <v>163</v>
      </c>
      <c r="L127" s="19"/>
      <c r="M127" s="19"/>
      <c r="N127" s="19"/>
      <c r="O127" s="19" t="s">
        <v>168</v>
      </c>
      <c r="P127" s="19"/>
      <c r="Q127" s="19"/>
      <c r="R127" s="19"/>
      <c r="S127" s="19" t="s">
        <v>169</v>
      </c>
      <c r="T127" s="19"/>
      <c r="U127" s="19"/>
      <c r="V127" s="19"/>
      <c r="W127" s="19" t="s">
        <v>170</v>
      </c>
      <c r="X127" s="19"/>
      <c r="Y127" s="19"/>
      <c r="Z127" s="19"/>
      <c r="AA127" s="19" t="s">
        <v>171</v>
      </c>
      <c r="AB127" s="19"/>
      <c r="AC127" s="19"/>
      <c r="AD127" s="19"/>
      <c r="AE127" s="19" t="s">
        <v>172</v>
      </c>
      <c r="AF127" s="19"/>
      <c r="AG127" s="19"/>
      <c r="AH127" s="19"/>
      <c r="AI127" s="45" t="s">
        <v>173</v>
      </c>
      <c r="AJ127" s="45"/>
      <c r="AK127" s="45"/>
      <c r="AL127" s="45"/>
      <c r="AM127" s="45" t="s">
        <v>174</v>
      </c>
      <c r="AN127" s="45"/>
      <c r="AO127" s="45"/>
      <c r="AP127" s="45"/>
      <c r="AQ127" s="9">
        <f t="shared" si="2"/>
        <v>0</v>
      </c>
      <c r="AS127" s="10"/>
    </row>
    <row r="128" spans="1:45" ht="20.149999999999999" customHeight="1" x14ac:dyDescent="0.35">
      <c r="A128" s="44">
        <v>3</v>
      </c>
      <c r="B128" s="44"/>
      <c r="C128" s="19" t="s">
        <v>154</v>
      </c>
      <c r="D128" s="19"/>
      <c r="E128" s="19"/>
      <c r="F128" s="19"/>
      <c r="G128" s="19" t="s">
        <v>159</v>
      </c>
      <c r="H128" s="19"/>
      <c r="I128" s="19"/>
      <c r="J128" s="19"/>
      <c r="K128" s="19" t="s">
        <v>164</v>
      </c>
      <c r="L128" s="19"/>
      <c r="M128" s="19"/>
      <c r="N128" s="19"/>
      <c r="O128" s="19" t="s">
        <v>175</v>
      </c>
      <c r="P128" s="19"/>
      <c r="Q128" s="19"/>
      <c r="R128" s="19"/>
      <c r="S128" s="19" t="s">
        <v>176</v>
      </c>
      <c r="T128" s="19"/>
      <c r="U128" s="19"/>
      <c r="V128" s="19"/>
      <c r="W128" s="19" t="s">
        <v>177</v>
      </c>
      <c r="X128" s="19"/>
      <c r="Y128" s="19"/>
      <c r="Z128" s="19"/>
      <c r="AA128" s="19" t="s">
        <v>178</v>
      </c>
      <c r="AB128" s="19"/>
      <c r="AC128" s="19"/>
      <c r="AD128" s="19"/>
      <c r="AE128" s="19" t="s">
        <v>179</v>
      </c>
      <c r="AF128" s="19"/>
      <c r="AG128" s="19"/>
      <c r="AH128" s="19"/>
      <c r="AI128" s="45" t="s">
        <v>180</v>
      </c>
      <c r="AJ128" s="45"/>
      <c r="AK128" s="45"/>
      <c r="AL128" s="45"/>
      <c r="AM128" s="45" t="s">
        <v>181</v>
      </c>
      <c r="AN128" s="45"/>
      <c r="AO128" s="45"/>
      <c r="AP128" s="45"/>
      <c r="AQ128" s="9">
        <f t="shared" si="2"/>
        <v>0</v>
      </c>
    </row>
    <row r="129" spans="1:45" ht="20.149999999999999" customHeight="1" x14ac:dyDescent="0.35">
      <c r="A129" s="44">
        <v>4</v>
      </c>
      <c r="B129" s="44"/>
      <c r="C129" s="19" t="s">
        <v>155</v>
      </c>
      <c r="D129" s="19"/>
      <c r="E129" s="19"/>
      <c r="F129" s="19"/>
      <c r="G129" s="19" t="s">
        <v>160</v>
      </c>
      <c r="H129" s="19"/>
      <c r="I129" s="19"/>
      <c r="J129" s="19"/>
      <c r="K129" s="19" t="s">
        <v>165</v>
      </c>
      <c r="L129" s="19"/>
      <c r="M129" s="19"/>
      <c r="N129" s="19"/>
      <c r="O129" s="19" t="s">
        <v>182</v>
      </c>
      <c r="P129" s="19"/>
      <c r="Q129" s="19"/>
      <c r="R129" s="19"/>
      <c r="S129" s="19" t="s">
        <v>183</v>
      </c>
      <c r="T129" s="19"/>
      <c r="U129" s="19"/>
      <c r="V129" s="19"/>
      <c r="W129" s="19" t="s">
        <v>184</v>
      </c>
      <c r="X129" s="19"/>
      <c r="Y129" s="19"/>
      <c r="Z129" s="19"/>
      <c r="AA129" s="19" t="s">
        <v>185</v>
      </c>
      <c r="AB129" s="19"/>
      <c r="AC129" s="19"/>
      <c r="AD129" s="19"/>
      <c r="AE129" s="19" t="s">
        <v>186</v>
      </c>
      <c r="AF129" s="19"/>
      <c r="AG129" s="19"/>
      <c r="AH129" s="19"/>
      <c r="AI129" s="45" t="s">
        <v>187</v>
      </c>
      <c r="AJ129" s="45"/>
      <c r="AK129" s="45"/>
      <c r="AL129" s="45"/>
      <c r="AM129" s="45" t="s">
        <v>188</v>
      </c>
      <c r="AN129" s="45"/>
      <c r="AO129" s="45"/>
      <c r="AP129" s="45"/>
      <c r="AQ129" s="9">
        <f t="shared" si="2"/>
        <v>0</v>
      </c>
      <c r="AS129" s="10"/>
    </row>
    <row r="130" spans="1:45" ht="20.149999999999999" customHeight="1" x14ac:dyDescent="0.35">
      <c r="A130" s="44">
        <v>5</v>
      </c>
      <c r="B130" s="44"/>
      <c r="C130" s="19" t="s">
        <v>156</v>
      </c>
      <c r="D130" s="19"/>
      <c r="E130" s="19"/>
      <c r="F130" s="19"/>
      <c r="G130" s="19" t="s">
        <v>161</v>
      </c>
      <c r="H130" s="19"/>
      <c r="I130" s="19"/>
      <c r="J130" s="19"/>
      <c r="K130" s="19" t="s">
        <v>166</v>
      </c>
      <c r="L130" s="19"/>
      <c r="M130" s="19"/>
      <c r="N130" s="19"/>
      <c r="O130" s="19" t="s">
        <v>189</v>
      </c>
      <c r="P130" s="19"/>
      <c r="Q130" s="19"/>
      <c r="R130" s="19"/>
      <c r="S130" s="19" t="s">
        <v>190</v>
      </c>
      <c r="T130" s="19"/>
      <c r="U130" s="19"/>
      <c r="V130" s="19"/>
      <c r="W130" s="19" t="s">
        <v>191</v>
      </c>
      <c r="X130" s="19"/>
      <c r="Y130" s="19"/>
      <c r="Z130" s="19"/>
      <c r="AA130" s="19" t="s">
        <v>192</v>
      </c>
      <c r="AB130" s="19"/>
      <c r="AC130" s="19"/>
      <c r="AD130" s="19"/>
      <c r="AE130" s="19" t="s">
        <v>193</v>
      </c>
      <c r="AF130" s="19"/>
      <c r="AG130" s="19"/>
      <c r="AH130" s="19"/>
      <c r="AI130" s="45" t="s">
        <v>194</v>
      </c>
      <c r="AJ130" s="45"/>
      <c r="AK130" s="45"/>
      <c r="AL130" s="45"/>
      <c r="AM130" s="45" t="s">
        <v>195</v>
      </c>
      <c r="AN130" s="45"/>
      <c r="AO130" s="45"/>
      <c r="AP130" s="45"/>
      <c r="AQ130" s="9">
        <f t="shared" si="2"/>
        <v>0</v>
      </c>
      <c r="AS130" s="10"/>
    </row>
    <row r="131" spans="1:45" ht="20.149999999999999" customHeight="1" x14ac:dyDescent="0.35">
      <c r="A131" s="44">
        <v>6</v>
      </c>
      <c r="B131" s="44"/>
      <c r="C131" s="19" t="s">
        <v>157</v>
      </c>
      <c r="D131" s="19"/>
      <c r="E131" s="19"/>
      <c r="F131" s="19"/>
      <c r="G131" s="19" t="s">
        <v>162</v>
      </c>
      <c r="H131" s="19"/>
      <c r="I131" s="19"/>
      <c r="J131" s="19"/>
      <c r="K131" s="19" t="s">
        <v>167</v>
      </c>
      <c r="L131" s="19"/>
      <c r="M131" s="19"/>
      <c r="N131" s="19"/>
      <c r="O131" s="19" t="s">
        <v>196</v>
      </c>
      <c r="P131" s="19"/>
      <c r="Q131" s="19"/>
      <c r="R131" s="19"/>
      <c r="S131" s="19" t="s">
        <v>197</v>
      </c>
      <c r="T131" s="19"/>
      <c r="U131" s="19"/>
      <c r="V131" s="19"/>
      <c r="W131" s="19" t="s">
        <v>198</v>
      </c>
      <c r="X131" s="19"/>
      <c r="Y131" s="19"/>
      <c r="Z131" s="19"/>
      <c r="AA131" s="19" t="s">
        <v>199</v>
      </c>
      <c r="AB131" s="19"/>
      <c r="AC131" s="19"/>
      <c r="AD131" s="19"/>
      <c r="AE131" s="19" t="s">
        <v>200</v>
      </c>
      <c r="AF131" s="19"/>
      <c r="AG131" s="19"/>
      <c r="AH131" s="19"/>
      <c r="AI131" s="45" t="s">
        <v>201</v>
      </c>
      <c r="AJ131" s="45"/>
      <c r="AK131" s="45"/>
      <c r="AL131" s="45"/>
      <c r="AM131" s="45" t="s">
        <v>202</v>
      </c>
      <c r="AN131" s="45"/>
      <c r="AO131" s="45"/>
      <c r="AP131" s="45"/>
      <c r="AQ131" s="9">
        <f t="shared" si="2"/>
        <v>0</v>
      </c>
      <c r="AS131" s="10"/>
    </row>
    <row r="132" spans="1:45" ht="8.25" customHeight="1" x14ac:dyDescent="0.35">
      <c r="A132" s="6"/>
      <c r="B132" s="6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9">
        <f t="shared" si="2"/>
        <v>0</v>
      </c>
      <c r="AR132" s="9"/>
      <c r="AS132" s="10"/>
    </row>
    <row r="133" spans="1:45" x14ac:dyDescent="0.35">
      <c r="A133" s="22" t="s">
        <v>113</v>
      </c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9">
        <f t="shared" si="2"/>
        <v>0</v>
      </c>
      <c r="AR133" s="9"/>
    </row>
    <row r="134" spans="1:45" ht="20.149999999999999" customHeight="1" x14ac:dyDescent="0.35">
      <c r="A134" s="46" t="s">
        <v>114</v>
      </c>
      <c r="B134" s="47"/>
      <c r="C134" s="47"/>
      <c r="D134" s="47"/>
      <c r="E134" s="47"/>
      <c r="F134" s="47"/>
      <c r="G134" s="47"/>
      <c r="H134" s="47"/>
      <c r="I134" s="48"/>
      <c r="J134" s="41" t="s">
        <v>111</v>
      </c>
      <c r="K134" s="42"/>
      <c r="L134" s="43"/>
      <c r="M134" s="41"/>
      <c r="N134" s="42"/>
      <c r="O134" s="42"/>
      <c r="P134" s="42"/>
      <c r="Q134" s="43"/>
      <c r="R134" s="41"/>
      <c r="S134" s="42"/>
      <c r="T134" s="42"/>
      <c r="U134" s="42"/>
      <c r="V134" s="43"/>
      <c r="W134" s="41"/>
      <c r="X134" s="42"/>
      <c r="Y134" s="42"/>
      <c r="Z134" s="42"/>
      <c r="AA134" s="43"/>
      <c r="AB134" s="41"/>
      <c r="AC134" s="42"/>
      <c r="AD134" s="42"/>
      <c r="AE134" s="42"/>
      <c r="AF134" s="43"/>
      <c r="AG134" s="41"/>
      <c r="AH134" s="42"/>
      <c r="AI134" s="42"/>
      <c r="AJ134" s="42"/>
      <c r="AK134" s="43"/>
      <c r="AL134" s="41"/>
      <c r="AM134" s="42"/>
      <c r="AN134" s="42"/>
      <c r="AO134" s="42"/>
      <c r="AP134" s="43"/>
      <c r="AQ134" s="9">
        <f t="shared" si="2"/>
        <v>0</v>
      </c>
      <c r="AR134" s="9"/>
    </row>
    <row r="135" spans="1:45" ht="20.149999999999999" customHeight="1" x14ac:dyDescent="0.35">
      <c r="A135" s="49"/>
      <c r="B135" s="50"/>
      <c r="C135" s="50"/>
      <c r="D135" s="50"/>
      <c r="E135" s="50"/>
      <c r="F135" s="50"/>
      <c r="G135" s="50"/>
      <c r="H135" s="50"/>
      <c r="I135" s="51"/>
      <c r="J135" s="41" t="s">
        <v>112</v>
      </c>
      <c r="K135" s="42"/>
      <c r="L135" s="43"/>
      <c r="M135" s="41"/>
      <c r="N135" s="42"/>
      <c r="O135" s="42"/>
      <c r="P135" s="42"/>
      <c r="Q135" s="43"/>
      <c r="R135" s="41"/>
      <c r="S135" s="42"/>
      <c r="T135" s="42"/>
      <c r="U135" s="42"/>
      <c r="V135" s="43"/>
      <c r="W135" s="41"/>
      <c r="X135" s="42"/>
      <c r="Y135" s="42"/>
      <c r="Z135" s="42"/>
      <c r="AA135" s="43"/>
      <c r="AB135" s="41"/>
      <c r="AC135" s="42"/>
      <c r="AD135" s="42"/>
      <c r="AE135" s="42"/>
      <c r="AF135" s="43"/>
      <c r="AG135" s="41"/>
      <c r="AH135" s="42"/>
      <c r="AI135" s="42"/>
      <c r="AJ135" s="42"/>
      <c r="AK135" s="43"/>
      <c r="AL135" s="41"/>
      <c r="AM135" s="42"/>
      <c r="AN135" s="42"/>
      <c r="AO135" s="42"/>
      <c r="AP135" s="43"/>
      <c r="AQ135" s="9">
        <f t="shared" si="2"/>
        <v>0</v>
      </c>
      <c r="AR135" s="9"/>
    </row>
    <row r="136" spans="1:45" ht="9" customHeight="1" x14ac:dyDescent="0.35">
      <c r="A136" s="6"/>
      <c r="B136" s="6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9">
        <f t="shared" si="2"/>
        <v>0</v>
      </c>
      <c r="AR136" s="9"/>
    </row>
    <row r="137" spans="1:45" x14ac:dyDescent="0.35">
      <c r="A137" s="14" t="s">
        <v>115</v>
      </c>
      <c r="B137" s="15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5"/>
      <c r="AQ137" s="9">
        <f t="shared" si="2"/>
        <v>0</v>
      </c>
      <c r="AR137" s="9"/>
    </row>
    <row r="138" spans="1:45" ht="20.149999999999999" customHeight="1" x14ac:dyDescent="0.35">
      <c r="A138" s="19" t="s">
        <v>116</v>
      </c>
      <c r="B138" s="19"/>
      <c r="C138" s="19"/>
      <c r="D138" s="19"/>
      <c r="E138" s="19"/>
      <c r="F138" s="19"/>
      <c r="G138" s="19"/>
      <c r="H138" s="19"/>
      <c r="I138" s="19"/>
      <c r="J138" s="41" t="s">
        <v>111</v>
      </c>
      <c r="K138" s="42"/>
      <c r="L138" s="43"/>
      <c r="M138" s="41"/>
      <c r="N138" s="42"/>
      <c r="O138" s="42"/>
      <c r="P138" s="42"/>
      <c r="Q138" s="43"/>
      <c r="R138" s="41"/>
      <c r="S138" s="42"/>
      <c r="T138" s="42"/>
      <c r="U138" s="42"/>
      <c r="V138" s="43"/>
      <c r="W138" s="41"/>
      <c r="X138" s="42"/>
      <c r="Y138" s="42"/>
      <c r="Z138" s="42"/>
      <c r="AA138" s="43"/>
      <c r="AB138" s="41"/>
      <c r="AC138" s="42"/>
      <c r="AD138" s="42"/>
      <c r="AE138" s="42"/>
      <c r="AF138" s="43"/>
      <c r="AG138" s="41"/>
      <c r="AH138" s="42"/>
      <c r="AI138" s="42"/>
      <c r="AJ138" s="42"/>
      <c r="AK138" s="43"/>
      <c r="AL138" s="41"/>
      <c r="AM138" s="42"/>
      <c r="AN138" s="42"/>
      <c r="AO138" s="42"/>
      <c r="AP138" s="43"/>
      <c r="AQ138" s="9">
        <f t="shared" si="2"/>
        <v>0</v>
      </c>
      <c r="AR138" s="9"/>
    </row>
    <row r="139" spans="1:45" ht="20.149999999999999" customHeight="1" x14ac:dyDescent="0.35">
      <c r="A139" s="19"/>
      <c r="B139" s="19"/>
      <c r="C139" s="19"/>
      <c r="D139" s="19"/>
      <c r="E139" s="19"/>
      <c r="F139" s="19"/>
      <c r="G139" s="19"/>
      <c r="H139" s="19"/>
      <c r="I139" s="19"/>
      <c r="J139" s="41" t="s">
        <v>112</v>
      </c>
      <c r="K139" s="42"/>
      <c r="L139" s="43"/>
      <c r="M139" s="41"/>
      <c r="N139" s="42"/>
      <c r="O139" s="42"/>
      <c r="P139" s="42"/>
      <c r="Q139" s="43"/>
      <c r="R139" s="41"/>
      <c r="S139" s="42"/>
      <c r="T139" s="42"/>
      <c r="U139" s="42"/>
      <c r="V139" s="43"/>
      <c r="W139" s="41"/>
      <c r="X139" s="42"/>
      <c r="Y139" s="42"/>
      <c r="Z139" s="42"/>
      <c r="AA139" s="43"/>
      <c r="AB139" s="41"/>
      <c r="AC139" s="42"/>
      <c r="AD139" s="42"/>
      <c r="AE139" s="42"/>
      <c r="AF139" s="43"/>
      <c r="AG139" s="41"/>
      <c r="AH139" s="42"/>
      <c r="AI139" s="42"/>
      <c r="AJ139" s="42"/>
      <c r="AK139" s="43"/>
      <c r="AL139" s="41"/>
      <c r="AM139" s="42"/>
      <c r="AN139" s="42"/>
      <c r="AO139" s="42"/>
      <c r="AP139" s="43"/>
      <c r="AQ139" s="9">
        <f t="shared" si="2"/>
        <v>0</v>
      </c>
      <c r="AR139" s="9"/>
    </row>
    <row r="140" spans="1:45" ht="20.149999999999999" customHeight="1" x14ac:dyDescent="0.35">
      <c r="A140" s="19"/>
      <c r="B140" s="19"/>
      <c r="C140" s="19"/>
      <c r="D140" s="19"/>
      <c r="E140" s="19"/>
      <c r="F140" s="19"/>
      <c r="G140" s="19"/>
      <c r="H140" s="19"/>
      <c r="I140" s="19"/>
      <c r="J140" s="41" t="s">
        <v>117</v>
      </c>
      <c r="K140" s="42"/>
      <c r="L140" s="43"/>
      <c r="M140" s="41"/>
      <c r="N140" s="42"/>
      <c r="O140" s="42"/>
      <c r="P140" s="42"/>
      <c r="Q140" s="43"/>
      <c r="R140" s="41"/>
      <c r="S140" s="42"/>
      <c r="T140" s="42"/>
      <c r="U140" s="42"/>
      <c r="V140" s="43"/>
      <c r="W140" s="41"/>
      <c r="X140" s="42"/>
      <c r="Y140" s="42"/>
      <c r="Z140" s="42"/>
      <c r="AA140" s="43"/>
      <c r="AB140" s="41"/>
      <c r="AC140" s="42"/>
      <c r="AD140" s="42"/>
      <c r="AE140" s="42"/>
      <c r="AF140" s="43"/>
      <c r="AG140" s="41"/>
      <c r="AH140" s="42"/>
      <c r="AI140" s="42"/>
      <c r="AJ140" s="42"/>
      <c r="AK140" s="43"/>
      <c r="AL140" s="41"/>
      <c r="AM140" s="42"/>
      <c r="AN140" s="42"/>
      <c r="AO140" s="42"/>
      <c r="AP140" s="43"/>
      <c r="AQ140" s="9">
        <f t="shared" si="2"/>
        <v>0</v>
      </c>
      <c r="AR140" s="9"/>
    </row>
    <row r="141" spans="1:45" ht="25" customHeight="1" x14ac:dyDescent="0.35">
      <c r="A141" s="37" t="s">
        <v>57</v>
      </c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9">
        <f t="shared" si="2"/>
        <v>0</v>
      </c>
      <c r="AR141" s="9"/>
    </row>
    <row r="142" spans="1:45" ht="8.25" customHeight="1" x14ac:dyDescent="0.35">
      <c r="A142" s="6"/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9">
        <f t="shared" si="2"/>
        <v>0</v>
      </c>
      <c r="AR142" s="9"/>
      <c r="AS142" s="10"/>
    </row>
    <row r="143" spans="1:45" ht="20.05" customHeight="1" x14ac:dyDescent="0.35">
      <c r="A143" s="53" t="s">
        <v>118</v>
      </c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9"/>
      <c r="AR143" s="9"/>
    </row>
    <row r="144" spans="1:45" ht="20.05" customHeight="1" x14ac:dyDescent="0.35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9"/>
      <c r="AR144" s="9"/>
    </row>
    <row r="145" spans="1:50" ht="20.05" customHeight="1" x14ac:dyDescent="0.3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9"/>
      <c r="AR145" s="9"/>
    </row>
    <row r="146" spans="1:50" ht="20.05" customHeight="1" x14ac:dyDescent="0.35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9"/>
      <c r="AR146" s="9"/>
    </row>
    <row r="147" spans="1:50" ht="20.05" customHeight="1" x14ac:dyDescent="0.35">
      <c r="A147" s="37" t="s">
        <v>57</v>
      </c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9">
        <f t="shared" ref="AQ147" si="3">D147</f>
        <v>0</v>
      </c>
      <c r="AR147" s="9"/>
    </row>
    <row r="148" spans="1:50" ht="8.25" customHeight="1" x14ac:dyDescent="0.35">
      <c r="A148" s="6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9"/>
      <c r="AR148" s="9"/>
      <c r="AS148" s="10"/>
    </row>
    <row r="149" spans="1:50" x14ac:dyDescent="0.35">
      <c r="A149" s="14" t="s">
        <v>119</v>
      </c>
      <c r="B149" s="15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5"/>
      <c r="AQ149" s="9">
        <f t="shared" ref="AQ149" si="4">D149</f>
        <v>0</v>
      </c>
      <c r="AR149" s="9"/>
      <c r="AS149" s="10"/>
    </row>
    <row r="150" spans="1:50" ht="25" customHeight="1" x14ac:dyDescent="0.35">
      <c r="A150" s="52" t="s">
        <v>120</v>
      </c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  <c r="AB150" s="52"/>
      <c r="AC150" s="19" t="s">
        <v>121</v>
      </c>
      <c r="AD150" s="19"/>
      <c r="AE150" s="19"/>
      <c r="AF150" s="19"/>
      <c r="AG150" s="19"/>
      <c r="AH150" s="19"/>
      <c r="AI150" s="19"/>
      <c r="AJ150" s="19" t="s">
        <v>122</v>
      </c>
      <c r="AK150" s="19"/>
      <c r="AL150" s="19"/>
      <c r="AM150" s="19"/>
      <c r="AN150" s="19"/>
      <c r="AO150" s="19"/>
      <c r="AP150" s="19"/>
      <c r="AQ150" s="9"/>
      <c r="AR150" s="9"/>
      <c r="AS150" s="10"/>
    </row>
    <row r="151" spans="1:50" ht="25" customHeight="1" x14ac:dyDescent="0.35">
      <c r="A151" s="55" t="s">
        <v>123</v>
      </c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9"/>
      <c r="AR151" s="9"/>
      <c r="AS151" s="10"/>
    </row>
    <row r="152" spans="1:50" ht="25" customHeight="1" x14ac:dyDescent="0.35">
      <c r="A152" s="55" t="s">
        <v>124</v>
      </c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9"/>
      <c r="AR152" s="9"/>
      <c r="AS152" s="10"/>
    </row>
    <row r="153" spans="1:50" ht="25" customHeight="1" x14ac:dyDescent="0.35">
      <c r="A153" s="55" t="s">
        <v>125</v>
      </c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9"/>
      <c r="AR153" s="9"/>
      <c r="AS153" s="10"/>
    </row>
    <row r="154" spans="1:50" ht="25" customHeight="1" x14ac:dyDescent="0.35">
      <c r="A154" s="37" t="s">
        <v>57</v>
      </c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9">
        <f t="shared" ref="AQ154" si="5">D154</f>
        <v>0</v>
      </c>
      <c r="AR154" s="9"/>
      <c r="AS154" s="10"/>
    </row>
    <row r="155" spans="1:50" ht="8.25" customHeight="1" x14ac:dyDescent="0.35">
      <c r="A155" s="6"/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9"/>
      <c r="AR155" s="9"/>
    </row>
    <row r="156" spans="1:50" x14ac:dyDescent="0.35">
      <c r="A156" s="14" t="s">
        <v>126</v>
      </c>
      <c r="B156" s="15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5"/>
      <c r="AQ156" s="9">
        <f t="shared" ref="AQ156" si="6">D156</f>
        <v>0</v>
      </c>
      <c r="AR156" s="9"/>
    </row>
    <row r="157" spans="1:50" ht="20.05" customHeight="1" x14ac:dyDescent="0.35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19" t="s">
        <v>127</v>
      </c>
      <c r="AD157" s="19"/>
      <c r="AE157" s="19"/>
      <c r="AF157" s="19"/>
      <c r="AG157" s="19"/>
      <c r="AH157" s="19"/>
      <c r="AI157" s="19"/>
      <c r="AJ157" s="19" t="s">
        <v>128</v>
      </c>
      <c r="AK157" s="19"/>
      <c r="AL157" s="19"/>
      <c r="AM157" s="19"/>
      <c r="AN157" s="19"/>
      <c r="AO157" s="19"/>
      <c r="AP157" s="19"/>
      <c r="AQ157" s="9"/>
      <c r="AR157" s="9"/>
    </row>
    <row r="158" spans="1:50" ht="20.05" customHeight="1" x14ac:dyDescent="0.35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9"/>
      <c r="AR158" s="9"/>
      <c r="AT158" s="18"/>
      <c r="AU158" s="18"/>
      <c r="AV158" s="18"/>
      <c r="AW158" s="18"/>
      <c r="AX158" s="18"/>
    </row>
    <row r="159" spans="1:50" ht="20.05" customHeight="1" x14ac:dyDescent="0.35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9"/>
      <c r="AR159" s="9"/>
      <c r="AS159" s="18"/>
      <c r="AT159" s="18"/>
      <c r="AU159" s="18"/>
      <c r="AV159" s="18"/>
      <c r="AW159" s="18"/>
      <c r="AX159" s="18"/>
    </row>
    <row r="160" spans="1:50" ht="20.05" customHeight="1" x14ac:dyDescent="0.35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9"/>
      <c r="AR160" s="9"/>
      <c r="AS160" s="18"/>
      <c r="AT160" s="18"/>
      <c r="AU160" s="18"/>
      <c r="AV160" s="18"/>
      <c r="AW160" s="18"/>
      <c r="AX160" s="18"/>
    </row>
    <row r="161" spans="1:50" ht="20.05" customHeight="1" x14ac:dyDescent="0.35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9"/>
      <c r="AR161" s="9"/>
      <c r="AS161" s="18"/>
    </row>
    <row r="162" spans="1:50" ht="8.25" customHeight="1" x14ac:dyDescent="0.35">
      <c r="A162" s="6"/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9"/>
      <c r="AR162" s="9"/>
    </row>
    <row r="163" spans="1:50" ht="30" customHeight="1" x14ac:dyDescent="0.35">
      <c r="A163" s="56" t="s">
        <v>129</v>
      </c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9">
        <f t="shared" si="2"/>
        <v>0</v>
      </c>
      <c r="AR163" s="9"/>
    </row>
    <row r="164" spans="1:50" x14ac:dyDescent="0.35">
      <c r="AQ164" s="9">
        <f>D164</f>
        <v>0</v>
      </c>
      <c r="AR164" s="9"/>
    </row>
    <row r="165" spans="1:50" s="18" customFormat="1" ht="19.5" customHeight="1" x14ac:dyDescent="0.35">
      <c r="A165" s="17" t="s">
        <v>130</v>
      </c>
      <c r="AQ165" s="9">
        <f>D165</f>
        <v>0</v>
      </c>
      <c r="AR165" s="9"/>
      <c r="AS165" s="1"/>
      <c r="AT165" s="1"/>
      <c r="AU165" s="1"/>
      <c r="AV165" s="1"/>
      <c r="AW165" s="1"/>
      <c r="AX165" s="1"/>
    </row>
    <row r="166" spans="1:50" s="18" customFormat="1" x14ac:dyDescent="0.35">
      <c r="B166" s="17"/>
      <c r="AQ166" s="9">
        <f>D166</f>
        <v>0</v>
      </c>
      <c r="AR166" s="9"/>
      <c r="AS166" s="1"/>
      <c r="AT166" s="1"/>
      <c r="AU166" s="1"/>
      <c r="AV166" s="1"/>
      <c r="AW166" s="1"/>
      <c r="AX166" s="1"/>
    </row>
    <row r="167" spans="1:50" s="18" customFormat="1" ht="19.5" customHeight="1" x14ac:dyDescent="0.35">
      <c r="A167" s="18" t="s">
        <v>131</v>
      </c>
      <c r="AQ167" s="9">
        <f>D167</f>
        <v>0</v>
      </c>
      <c r="AR167" s="9"/>
      <c r="AS167" s="1"/>
      <c r="AT167" s="1"/>
      <c r="AU167" s="1"/>
      <c r="AV167" s="1"/>
      <c r="AW167" s="1"/>
      <c r="AX167" s="1"/>
    </row>
    <row r="168" spans="1:50" x14ac:dyDescent="0.35">
      <c r="AQ168" s="9">
        <f>D168</f>
        <v>0</v>
      </c>
      <c r="AR168" s="9"/>
    </row>
  </sheetData>
  <mergeCells count="522">
    <mergeCell ref="A163:AP163"/>
    <mergeCell ref="A160:AB160"/>
    <mergeCell ref="AC160:AI160"/>
    <mergeCell ref="AJ160:AP160"/>
    <mergeCell ref="A161:AB161"/>
    <mergeCell ref="AC161:AI161"/>
    <mergeCell ref="AJ161:AP161"/>
    <mergeCell ref="AL140:AP140"/>
    <mergeCell ref="A158:AB158"/>
    <mergeCell ref="AC158:AI158"/>
    <mergeCell ref="AJ158:AP158"/>
    <mergeCell ref="A159:AB159"/>
    <mergeCell ref="AC159:AI159"/>
    <mergeCell ref="AJ159:AP159"/>
    <mergeCell ref="A153:AB153"/>
    <mergeCell ref="AC153:AI153"/>
    <mergeCell ref="AJ153:AP153"/>
    <mergeCell ref="A154:AP154"/>
    <mergeCell ref="A157:AB157"/>
    <mergeCell ref="AC157:AI157"/>
    <mergeCell ref="AJ157:AP157"/>
    <mergeCell ref="A151:AB151"/>
    <mergeCell ref="AC151:AI151"/>
    <mergeCell ref="AJ151:AP151"/>
    <mergeCell ref="A152:AB152"/>
    <mergeCell ref="AC152:AI152"/>
    <mergeCell ref="AJ152:AP152"/>
    <mergeCell ref="A145:AP145"/>
    <mergeCell ref="A146:AP146"/>
    <mergeCell ref="A147:AP147"/>
    <mergeCell ref="A150:AB150"/>
    <mergeCell ref="AC150:AI150"/>
    <mergeCell ref="AJ150:AP150"/>
    <mergeCell ref="A141:AP141"/>
    <mergeCell ref="A143:AP143"/>
    <mergeCell ref="A144:AP144"/>
    <mergeCell ref="AG138:AK138"/>
    <mergeCell ref="AL138:AP138"/>
    <mergeCell ref="J139:L139"/>
    <mergeCell ref="M139:Q139"/>
    <mergeCell ref="R139:V139"/>
    <mergeCell ref="W139:AA139"/>
    <mergeCell ref="AB139:AF139"/>
    <mergeCell ref="AG139:AK139"/>
    <mergeCell ref="AL139:AP139"/>
    <mergeCell ref="A138:I140"/>
    <mergeCell ref="J138:L138"/>
    <mergeCell ref="M138:Q138"/>
    <mergeCell ref="R138:V138"/>
    <mergeCell ref="W138:AA138"/>
    <mergeCell ref="AB138:AF138"/>
    <mergeCell ref="J140:L140"/>
    <mergeCell ref="M140:Q140"/>
    <mergeCell ref="R140:V140"/>
    <mergeCell ref="W140:AA140"/>
    <mergeCell ref="AB140:AF140"/>
    <mergeCell ref="AG140:AK140"/>
    <mergeCell ref="AB134:AF134"/>
    <mergeCell ref="W131:Z131"/>
    <mergeCell ref="AA131:AD131"/>
    <mergeCell ref="AE131:AH131"/>
    <mergeCell ref="AG134:AK134"/>
    <mergeCell ref="W135:AA135"/>
    <mergeCell ref="AB135:AF135"/>
    <mergeCell ref="AG135:AK135"/>
    <mergeCell ref="W134:AA134"/>
    <mergeCell ref="AL135:AP135"/>
    <mergeCell ref="AL134:AP134"/>
    <mergeCell ref="J135:L135"/>
    <mergeCell ref="M135:Q135"/>
    <mergeCell ref="R135:V135"/>
    <mergeCell ref="S130:V130"/>
    <mergeCell ref="W130:Z130"/>
    <mergeCell ref="AA130:AD130"/>
    <mergeCell ref="AE130:AH130"/>
    <mergeCell ref="AI130:AL130"/>
    <mergeCell ref="AM130:AP130"/>
    <mergeCell ref="AI131:AL131"/>
    <mergeCell ref="AM131:AP131"/>
    <mergeCell ref="A133:AP133"/>
    <mergeCell ref="A131:B131"/>
    <mergeCell ref="C131:F131"/>
    <mergeCell ref="G131:J131"/>
    <mergeCell ref="K131:N131"/>
    <mergeCell ref="O131:R131"/>
    <mergeCell ref="S131:V131"/>
    <mergeCell ref="A134:I135"/>
    <mergeCell ref="J134:L134"/>
    <mergeCell ref="M134:Q134"/>
    <mergeCell ref="R134:V134"/>
    <mergeCell ref="W129:Z129"/>
    <mergeCell ref="AA129:AD129"/>
    <mergeCell ref="AE129:AH129"/>
    <mergeCell ref="AI129:AL129"/>
    <mergeCell ref="AM129:AP129"/>
    <mergeCell ref="S129:V129"/>
    <mergeCell ref="A130:B130"/>
    <mergeCell ref="C130:F130"/>
    <mergeCell ref="G130:J130"/>
    <mergeCell ref="K130:N130"/>
    <mergeCell ref="O130:R130"/>
    <mergeCell ref="A129:B129"/>
    <mergeCell ref="C129:F129"/>
    <mergeCell ref="G129:J129"/>
    <mergeCell ref="K129:N129"/>
    <mergeCell ref="O129:R129"/>
    <mergeCell ref="S128:V128"/>
    <mergeCell ref="W128:Z128"/>
    <mergeCell ref="AA128:AD128"/>
    <mergeCell ref="AE128:AH128"/>
    <mergeCell ref="AI128:AL128"/>
    <mergeCell ref="AM128:AP128"/>
    <mergeCell ref="W127:Z127"/>
    <mergeCell ref="AA127:AD127"/>
    <mergeCell ref="AE127:AH127"/>
    <mergeCell ref="AI127:AL127"/>
    <mergeCell ref="AM127:AP127"/>
    <mergeCell ref="S127:V127"/>
    <mergeCell ref="A128:B128"/>
    <mergeCell ref="C128:F128"/>
    <mergeCell ref="G128:J128"/>
    <mergeCell ref="K128:N128"/>
    <mergeCell ref="O128:R128"/>
    <mergeCell ref="A127:B127"/>
    <mergeCell ref="C127:F127"/>
    <mergeCell ref="G127:J127"/>
    <mergeCell ref="K127:N127"/>
    <mergeCell ref="O127:R127"/>
    <mergeCell ref="S126:V126"/>
    <mergeCell ref="W126:Z126"/>
    <mergeCell ref="AA126:AD126"/>
    <mergeCell ref="AE126:AH126"/>
    <mergeCell ref="AI126:AL126"/>
    <mergeCell ref="AM126:AP126"/>
    <mergeCell ref="W125:Z125"/>
    <mergeCell ref="AA125:AD125"/>
    <mergeCell ref="AE125:AH125"/>
    <mergeCell ref="AI125:AL125"/>
    <mergeCell ref="AM125:AP125"/>
    <mergeCell ref="S125:V125"/>
    <mergeCell ref="A126:B126"/>
    <mergeCell ref="C126:F126"/>
    <mergeCell ref="G126:J126"/>
    <mergeCell ref="K126:N126"/>
    <mergeCell ref="O126:R126"/>
    <mergeCell ref="A125:B125"/>
    <mergeCell ref="C125:F125"/>
    <mergeCell ref="G125:J125"/>
    <mergeCell ref="K125:N125"/>
    <mergeCell ref="O125:R125"/>
    <mergeCell ref="A124:B124"/>
    <mergeCell ref="C124:J124"/>
    <mergeCell ref="K124:R124"/>
    <mergeCell ref="S124:Z124"/>
    <mergeCell ref="AA124:AH124"/>
    <mergeCell ref="AI124:AP124"/>
    <mergeCell ref="A120:C120"/>
    <mergeCell ref="D120:Z120"/>
    <mergeCell ref="AA120:AH120"/>
    <mergeCell ref="AI120:AP120"/>
    <mergeCell ref="A121:AP121"/>
    <mergeCell ref="A123:AP123"/>
    <mergeCell ref="A116:C116"/>
    <mergeCell ref="D116:Z116"/>
    <mergeCell ref="AA116:AH116"/>
    <mergeCell ref="AI116:AP116"/>
    <mergeCell ref="A117:AP117"/>
    <mergeCell ref="A119:AP119"/>
    <mergeCell ref="A114:C114"/>
    <mergeCell ref="D114:Z114"/>
    <mergeCell ref="AA114:AH114"/>
    <mergeCell ref="AI114:AP114"/>
    <mergeCell ref="A115:C115"/>
    <mergeCell ref="D115:Z115"/>
    <mergeCell ref="AA115:AH115"/>
    <mergeCell ref="AI115:AP115"/>
    <mergeCell ref="A110:C110"/>
    <mergeCell ref="D110:Z110"/>
    <mergeCell ref="AA110:AH110"/>
    <mergeCell ref="AI110:AP110"/>
    <mergeCell ref="A111:AP111"/>
    <mergeCell ref="A113:AP113"/>
    <mergeCell ref="A108:C108"/>
    <mergeCell ref="D108:Z108"/>
    <mergeCell ref="AA108:AH108"/>
    <mergeCell ref="AI108:AP108"/>
    <mergeCell ref="A109:C109"/>
    <mergeCell ref="D109:Z109"/>
    <mergeCell ref="AA109:AH109"/>
    <mergeCell ref="AI109:AP109"/>
    <mergeCell ref="A104:AP104"/>
    <mergeCell ref="A106:AP106"/>
    <mergeCell ref="A107:C107"/>
    <mergeCell ref="D107:Z107"/>
    <mergeCell ref="AA107:AH107"/>
    <mergeCell ref="AI107:AP107"/>
    <mergeCell ref="A102:C102"/>
    <mergeCell ref="D102:Z102"/>
    <mergeCell ref="AA102:AH102"/>
    <mergeCell ref="AI102:AP102"/>
    <mergeCell ref="A103:C103"/>
    <mergeCell ref="D103:Z103"/>
    <mergeCell ref="AA103:AH103"/>
    <mergeCell ref="AI103:AP103"/>
    <mergeCell ref="A100:C100"/>
    <mergeCell ref="D100:Z100"/>
    <mergeCell ref="AA100:AH100"/>
    <mergeCell ref="AI100:AP100"/>
    <mergeCell ref="A101:C101"/>
    <mergeCell ref="D101:Z101"/>
    <mergeCell ref="AA101:AH101"/>
    <mergeCell ref="AI101:AP101"/>
    <mergeCell ref="A98:C98"/>
    <mergeCell ref="D98:Z98"/>
    <mergeCell ref="AA98:AH98"/>
    <mergeCell ref="AI98:AP98"/>
    <mergeCell ref="A99:C99"/>
    <mergeCell ref="D99:Z99"/>
    <mergeCell ref="AA99:AH99"/>
    <mergeCell ref="AI99:AP99"/>
    <mergeCell ref="A94:C94"/>
    <mergeCell ref="D94:Z94"/>
    <mergeCell ref="AA94:AH94"/>
    <mergeCell ref="AI94:AP94"/>
    <mergeCell ref="A95:AP95"/>
    <mergeCell ref="A97:AP97"/>
    <mergeCell ref="A92:C92"/>
    <mergeCell ref="D92:Z92"/>
    <mergeCell ref="AA92:AH92"/>
    <mergeCell ref="AI92:AP92"/>
    <mergeCell ref="A93:C93"/>
    <mergeCell ref="D93:Z93"/>
    <mergeCell ref="AA93:AH93"/>
    <mergeCell ref="AI93:AP93"/>
    <mergeCell ref="A90:C90"/>
    <mergeCell ref="D90:Z90"/>
    <mergeCell ref="AA90:AH90"/>
    <mergeCell ref="AI90:AP90"/>
    <mergeCell ref="A91:C91"/>
    <mergeCell ref="D91:Z91"/>
    <mergeCell ref="AA91:AH91"/>
    <mergeCell ref="AI91:AP91"/>
    <mergeCell ref="A88:C88"/>
    <mergeCell ref="D88:Z88"/>
    <mergeCell ref="AA88:AH88"/>
    <mergeCell ref="AI88:AP88"/>
    <mergeCell ref="A89:C89"/>
    <mergeCell ref="D89:Z89"/>
    <mergeCell ref="AA89:AH89"/>
    <mergeCell ref="AI89:AP89"/>
    <mergeCell ref="A84:AP84"/>
    <mergeCell ref="A86:AP86"/>
    <mergeCell ref="A87:C87"/>
    <mergeCell ref="D87:Z87"/>
    <mergeCell ref="AA87:AH87"/>
    <mergeCell ref="AI87:AP87"/>
    <mergeCell ref="A79:C79"/>
    <mergeCell ref="D79:Z79"/>
    <mergeCell ref="AA79:AH79"/>
    <mergeCell ref="AI79:AP79"/>
    <mergeCell ref="A80:AP80"/>
    <mergeCell ref="A83:C83"/>
    <mergeCell ref="D83:Z83"/>
    <mergeCell ref="AA83:AH83"/>
    <mergeCell ref="AI83:AP83"/>
    <mergeCell ref="A74:AP74"/>
    <mergeCell ref="A77:C77"/>
    <mergeCell ref="D77:Z77"/>
    <mergeCell ref="AA77:AH77"/>
    <mergeCell ref="AI77:AP77"/>
    <mergeCell ref="A78:C78"/>
    <mergeCell ref="D78:Z78"/>
    <mergeCell ref="AA78:AH78"/>
    <mergeCell ref="AI78:AP78"/>
    <mergeCell ref="A72:C72"/>
    <mergeCell ref="D72:Z72"/>
    <mergeCell ref="AA72:AH72"/>
    <mergeCell ref="AI72:AP72"/>
    <mergeCell ref="A73:C73"/>
    <mergeCell ref="D73:Z73"/>
    <mergeCell ref="AA73:AH73"/>
    <mergeCell ref="AI73:AP73"/>
    <mergeCell ref="A70:C70"/>
    <mergeCell ref="D70:Z70"/>
    <mergeCell ref="AA70:AH70"/>
    <mergeCell ref="AI70:AP70"/>
    <mergeCell ref="A71:C71"/>
    <mergeCell ref="D71:Z71"/>
    <mergeCell ref="AA71:AH71"/>
    <mergeCell ref="AI71:AP71"/>
    <mergeCell ref="A68:C68"/>
    <mergeCell ref="D68:Z68"/>
    <mergeCell ref="AA68:AH68"/>
    <mergeCell ref="AI68:AP68"/>
    <mergeCell ref="A69:C69"/>
    <mergeCell ref="D69:Z69"/>
    <mergeCell ref="AA69:AH69"/>
    <mergeCell ref="AI69:AP69"/>
    <mergeCell ref="A63:C63"/>
    <mergeCell ref="D63:Z63"/>
    <mergeCell ref="AA63:AH63"/>
    <mergeCell ref="AI63:AP63"/>
    <mergeCell ref="A64:AP64"/>
    <mergeCell ref="A66:AP66"/>
    <mergeCell ref="A61:C61"/>
    <mergeCell ref="D61:Z61"/>
    <mergeCell ref="AA61:AH61"/>
    <mergeCell ref="AI61:AP61"/>
    <mergeCell ref="A62:C62"/>
    <mergeCell ref="D62:Z62"/>
    <mergeCell ref="AA62:AH62"/>
    <mergeCell ref="AI62:AP62"/>
    <mergeCell ref="A59:C59"/>
    <mergeCell ref="D59:Z59"/>
    <mergeCell ref="AA59:AH59"/>
    <mergeCell ref="AI59:AP59"/>
    <mergeCell ref="A60:C60"/>
    <mergeCell ref="D60:Z60"/>
    <mergeCell ref="AA60:AH60"/>
    <mergeCell ref="AI60:AP60"/>
    <mergeCell ref="A57:AP57"/>
    <mergeCell ref="A58:C58"/>
    <mergeCell ref="D58:Z58"/>
    <mergeCell ref="AA58:AH58"/>
    <mergeCell ref="AI58:AP58"/>
    <mergeCell ref="A53:N53"/>
    <mergeCell ref="O53:S53"/>
    <mergeCell ref="X53:AK53"/>
    <mergeCell ref="AL53:AP53"/>
    <mergeCell ref="A54:N54"/>
    <mergeCell ref="O54:S54"/>
    <mergeCell ref="X54:AK54"/>
    <mergeCell ref="AL54:AP54"/>
    <mergeCell ref="A55:AP55"/>
    <mergeCell ref="A50:I51"/>
    <mergeCell ref="J50:M51"/>
    <mergeCell ref="N50:R50"/>
    <mergeCell ref="S50:V50"/>
    <mergeCell ref="W50:Z50"/>
    <mergeCell ref="AA50:AD50"/>
    <mergeCell ref="AE50:AH50"/>
    <mergeCell ref="AI50:AL50"/>
    <mergeCell ref="AE48:AH48"/>
    <mergeCell ref="AE49:AH49"/>
    <mergeCell ref="AI49:AL49"/>
    <mergeCell ref="AM50:AP50"/>
    <mergeCell ref="N51:R51"/>
    <mergeCell ref="S51:V51"/>
    <mergeCell ref="W51:Z51"/>
    <mergeCell ref="AA51:AD51"/>
    <mergeCell ref="AE51:AH51"/>
    <mergeCell ref="AI51:AL51"/>
    <mergeCell ref="AM51:AP51"/>
    <mergeCell ref="A47:I49"/>
    <mergeCell ref="J47:M47"/>
    <mergeCell ref="N47:R47"/>
    <mergeCell ref="S47:V47"/>
    <mergeCell ref="W47:Z47"/>
    <mergeCell ref="AA47:AD47"/>
    <mergeCell ref="AE47:AH47"/>
    <mergeCell ref="AI47:AL47"/>
    <mergeCell ref="AM47:AP47"/>
    <mergeCell ref="AI48:AL48"/>
    <mergeCell ref="AM48:AP48"/>
    <mergeCell ref="J49:M49"/>
    <mergeCell ref="N49:R49"/>
    <mergeCell ref="S49:V49"/>
    <mergeCell ref="W49:Z49"/>
    <mergeCell ref="AA49:AD49"/>
    <mergeCell ref="AM49:AP49"/>
    <mergeCell ref="J48:M48"/>
    <mergeCell ref="N48:R48"/>
    <mergeCell ref="S48:V48"/>
    <mergeCell ref="W48:Z48"/>
    <mergeCell ref="AA48:AD48"/>
    <mergeCell ref="A44:C44"/>
    <mergeCell ref="D44:Z44"/>
    <mergeCell ref="AA44:AH44"/>
    <mergeCell ref="AI44:AP44"/>
    <mergeCell ref="A46:R46"/>
    <mergeCell ref="S46:V46"/>
    <mergeCell ref="W46:Z46"/>
    <mergeCell ref="AA46:AD46"/>
    <mergeCell ref="AE46:AH46"/>
    <mergeCell ref="AI46:AL46"/>
    <mergeCell ref="AM46:AP46"/>
    <mergeCell ref="A42:C42"/>
    <mergeCell ref="D42:Z42"/>
    <mergeCell ref="AA42:AH42"/>
    <mergeCell ref="AI42:AP42"/>
    <mergeCell ref="A43:C43"/>
    <mergeCell ref="D43:Z43"/>
    <mergeCell ref="AA43:AH43"/>
    <mergeCell ref="AI43:AP43"/>
    <mergeCell ref="A40:C40"/>
    <mergeCell ref="D40:Z40"/>
    <mergeCell ref="AA40:AH40"/>
    <mergeCell ref="AI40:AP40"/>
    <mergeCell ref="A41:C41"/>
    <mergeCell ref="D41:Z41"/>
    <mergeCell ref="AA41:AH41"/>
    <mergeCell ref="AI41:AP41"/>
    <mergeCell ref="A38:C38"/>
    <mergeCell ref="D38:Z38"/>
    <mergeCell ref="AA38:AH38"/>
    <mergeCell ref="AI38:AP38"/>
    <mergeCell ref="A39:C39"/>
    <mergeCell ref="D39:Z39"/>
    <mergeCell ref="AA39:AH39"/>
    <mergeCell ref="AI39:AP39"/>
    <mergeCell ref="A36:C36"/>
    <mergeCell ref="D36:Z36"/>
    <mergeCell ref="AA36:AH36"/>
    <mergeCell ref="AI36:AP36"/>
    <mergeCell ref="A37:C37"/>
    <mergeCell ref="D37:Z37"/>
    <mergeCell ref="AA37:AH37"/>
    <mergeCell ref="AI37:AP37"/>
    <mergeCell ref="A34:C34"/>
    <mergeCell ref="D34:Z34"/>
    <mergeCell ref="AA34:AH34"/>
    <mergeCell ref="AI34:AP34"/>
    <mergeCell ref="A35:C35"/>
    <mergeCell ref="D35:Z35"/>
    <mergeCell ref="AA35:AH35"/>
    <mergeCell ref="AI35:AP35"/>
    <mergeCell ref="A32:C32"/>
    <mergeCell ref="D32:Z32"/>
    <mergeCell ref="AA32:AH32"/>
    <mergeCell ref="AI32:AP32"/>
    <mergeCell ref="A33:C33"/>
    <mergeCell ref="D33:Z33"/>
    <mergeCell ref="AA33:AH33"/>
    <mergeCell ref="AI33:AP33"/>
    <mergeCell ref="A30:C30"/>
    <mergeCell ref="D30:Z30"/>
    <mergeCell ref="AA30:AH30"/>
    <mergeCell ref="AI30:AP30"/>
    <mergeCell ref="A31:C31"/>
    <mergeCell ref="D31:Z31"/>
    <mergeCell ref="AA31:AH31"/>
    <mergeCell ref="AI31:AP31"/>
    <mergeCell ref="A28:C28"/>
    <mergeCell ref="D28:Z28"/>
    <mergeCell ref="AA28:AH28"/>
    <mergeCell ref="AI28:AP28"/>
    <mergeCell ref="A29:C29"/>
    <mergeCell ref="D29:Z29"/>
    <mergeCell ref="AA29:AH29"/>
    <mergeCell ref="AI29:AP29"/>
    <mergeCell ref="A26:C26"/>
    <mergeCell ref="D26:Z26"/>
    <mergeCell ref="AA26:AH26"/>
    <mergeCell ref="AI26:AP26"/>
    <mergeCell ref="A27:C27"/>
    <mergeCell ref="D27:Z27"/>
    <mergeCell ref="AA27:AH27"/>
    <mergeCell ref="AI27:AP27"/>
    <mergeCell ref="A24:C24"/>
    <mergeCell ref="D24:Z24"/>
    <mergeCell ref="AA24:AH24"/>
    <mergeCell ref="AI24:AP24"/>
    <mergeCell ref="A25:C25"/>
    <mergeCell ref="D25:Z25"/>
    <mergeCell ref="AA25:AH25"/>
    <mergeCell ref="AI25:AP25"/>
    <mergeCell ref="A20:C20"/>
    <mergeCell ref="D20:Z20"/>
    <mergeCell ref="AA20:AH20"/>
    <mergeCell ref="AI20:AP20"/>
    <mergeCell ref="A22:AP22"/>
    <mergeCell ref="A23:C23"/>
    <mergeCell ref="D23:Z23"/>
    <mergeCell ref="AA23:AH23"/>
    <mergeCell ref="AI23:AP23"/>
    <mergeCell ref="A17:C17"/>
    <mergeCell ref="D17:Z17"/>
    <mergeCell ref="AA17:AH17"/>
    <mergeCell ref="AI17:AP17"/>
    <mergeCell ref="A18:C18"/>
    <mergeCell ref="D18:Z18"/>
    <mergeCell ref="AA18:AH18"/>
    <mergeCell ref="AI18:AP18"/>
    <mergeCell ref="A15:C15"/>
    <mergeCell ref="D15:Z15"/>
    <mergeCell ref="AA15:AH15"/>
    <mergeCell ref="AI15:AP15"/>
    <mergeCell ref="A16:C16"/>
    <mergeCell ref="D16:Z16"/>
    <mergeCell ref="AA16:AH16"/>
    <mergeCell ref="AI16:AP16"/>
    <mergeCell ref="A13:C13"/>
    <mergeCell ref="D13:Z13"/>
    <mergeCell ref="AA13:AH13"/>
    <mergeCell ref="AI13:AP13"/>
    <mergeCell ref="A14:C14"/>
    <mergeCell ref="D14:Z14"/>
    <mergeCell ref="AA14:AH14"/>
    <mergeCell ref="AI14:AP14"/>
    <mergeCell ref="A11:C11"/>
    <mergeCell ref="D11:Z11"/>
    <mergeCell ref="AA11:AH11"/>
    <mergeCell ref="AI11:AP11"/>
    <mergeCell ref="A12:C12"/>
    <mergeCell ref="D12:Z12"/>
    <mergeCell ref="AA12:AH12"/>
    <mergeCell ref="AI12:AP12"/>
    <mergeCell ref="A9:C9"/>
    <mergeCell ref="D9:Z9"/>
    <mergeCell ref="AA9:AH9"/>
    <mergeCell ref="AI9:AP9"/>
    <mergeCell ref="A10:C10"/>
    <mergeCell ref="D10:Z10"/>
    <mergeCell ref="AA10:AH10"/>
    <mergeCell ref="AI10:AP10"/>
    <mergeCell ref="AG3:AP3"/>
    <mergeCell ref="A5:O5"/>
    <mergeCell ref="A7:AP7"/>
    <mergeCell ref="A8:C8"/>
    <mergeCell ref="D8:Z8"/>
    <mergeCell ref="AA8:AH8"/>
    <mergeCell ref="AI8:AP8"/>
  </mergeCells>
  <printOptions horizontalCentered="1"/>
  <pageMargins left="0.19685039370078741" right="0.19685039370078741" top="0.19685039370078741" bottom="0.19685039370078741" header="0" footer="0"/>
  <pageSetup paperSize="9" scale="94" fitToHeight="0" orientation="portrait" horizontalDpi="200" verticalDpi="200" r:id="rId1"/>
  <headerFooter>
    <oddFooter>&amp;R&amp;P</oddFooter>
  </headerFooter>
  <rowBreaks count="6" manualBreakCount="6">
    <brk id="18" max="41" man="1"/>
    <brk id="42" max="41" man="1"/>
    <brk id="71" max="41" man="1"/>
    <brk id="95" max="41" man="1"/>
    <brk id="121" max="41" man="1"/>
    <brk id="122" max="41" man="1"/>
  </rowBrea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ТУ-28 (ТО-3, ТР-1)</vt:lpstr>
      <vt:lpstr>'ТУ-28 (ТО-3, ТР-1)'!Область_печати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Шварчков</dc:creator>
  <cp:lastModifiedBy>Сергей Шварчков</cp:lastModifiedBy>
  <cp:lastPrinted>2026-06-12T12:08:57Z</cp:lastPrinted>
  <dcterms:created xsi:type="dcterms:W3CDTF">2026-05-16T18:45:13Z</dcterms:created>
  <dcterms:modified xsi:type="dcterms:W3CDTF">2026-06-12T12:09:20Z</dcterms:modified>
</cp:coreProperties>
</file>